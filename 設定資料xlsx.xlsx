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ida\ドキュメント\卒研\"/>
    </mc:Choice>
  </mc:AlternateContent>
  <xr:revisionPtr revIDLastSave="0" documentId="13_ncr:1_{F6175288-6C83-45EB-AF72-8581717D8748}" xr6:coauthVersionLast="47" xr6:coauthVersionMax="47" xr10:uidLastSave="{00000000-0000-0000-0000-000000000000}"/>
  <bookViews>
    <workbookView xWindow="-108" yWindow="-108" windowWidth="23256" windowHeight="14616" xr2:uid="{C7D81F84-D63D-4AD2-A31B-55004214F904}"/>
  </bookViews>
  <sheets>
    <sheet name="パラメータ" sheetId="1" r:id="rId1"/>
    <sheet name="斧と木のパラメータ" sheetId="7" r:id="rId2"/>
    <sheet name="ダメージの種類" sheetId="2" r:id="rId3"/>
    <sheet name="想定最終ビルド一覧" sheetId="3" r:id="rId4"/>
    <sheet name="ノーマル効果一覧" sheetId="4" r:id="rId5"/>
    <sheet name="ユニーク効果一覧" sheetId="5" r:id="rId6"/>
    <sheet name="ガチャ確率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7" l="1"/>
  <c r="C10" i="7" s="1"/>
  <c r="D9" i="7"/>
  <c r="D10" i="7" s="1"/>
  <c r="E9" i="7"/>
  <c r="E10" i="7" s="1"/>
  <c r="F9" i="7"/>
  <c r="F10" i="7" s="1"/>
  <c r="G9" i="7"/>
  <c r="G10" i="7" s="1"/>
  <c r="H9" i="7"/>
  <c r="H10" i="7" s="1"/>
  <c r="I9" i="7"/>
  <c r="I10" i="7" s="1"/>
  <c r="J9" i="7"/>
  <c r="J10" i="7" s="1"/>
  <c r="K9" i="7"/>
  <c r="K10" i="7" s="1"/>
  <c r="B10" i="7"/>
  <c r="B9" i="7"/>
  <c r="M13" i="4"/>
  <c r="M6" i="4"/>
  <c r="M7" i="4"/>
  <c r="M8" i="4"/>
  <c r="M9" i="4"/>
  <c r="M10" i="4"/>
  <c r="M11" i="4"/>
  <c r="M12" i="4"/>
  <c r="M5" i="4"/>
  <c r="H3" i="6"/>
  <c r="H4" i="6"/>
  <c r="H5" i="6"/>
  <c r="H6" i="6"/>
  <c r="H7" i="6"/>
  <c r="H8" i="6"/>
  <c r="H9" i="6"/>
  <c r="H10" i="6"/>
  <c r="H11" i="6"/>
  <c r="H2" i="6"/>
  <c r="L7" i="4"/>
  <c r="L8" i="4"/>
  <c r="L9" i="4"/>
  <c r="L10" i="4"/>
  <c r="L11" i="4"/>
  <c r="L12" i="4"/>
  <c r="L13" i="4"/>
  <c r="L6" i="4"/>
  <c r="L5" i="4"/>
</calcChain>
</file>

<file path=xl/sharedStrings.xml><?xml version="1.0" encoding="utf-8"?>
<sst xmlns="http://schemas.openxmlformats.org/spreadsheetml/2006/main" count="172" uniqueCount="149">
  <si>
    <t>パラメータ</t>
    <phoneticPr fontId="1"/>
  </si>
  <si>
    <t>変数名</t>
    <rPh sb="0" eb="2">
      <t>ヘンスウ</t>
    </rPh>
    <rPh sb="2" eb="3">
      <t>メイ</t>
    </rPh>
    <phoneticPr fontId="1"/>
  </si>
  <si>
    <t>概要</t>
    <rPh sb="0" eb="2">
      <t>ガイヨウ</t>
    </rPh>
    <phoneticPr fontId="1"/>
  </si>
  <si>
    <t>BasicAttack​​​</t>
  </si>
  <si>
    <t>FinalAttack</t>
  </si>
  <si>
    <t>AttackSpeed​</t>
  </si>
  <si>
    <t>AttackRange</t>
  </si>
  <si>
    <t>Critical</t>
  </si>
  <si>
    <t>CriticalDamage</t>
  </si>
  <si>
    <t>MoveSpeed</t>
  </si>
  <si>
    <t>CollectRange</t>
  </si>
  <si>
    <t>Luck</t>
  </si>
  <si>
    <t>基礎攻撃力</t>
    <rPh sb="0" eb="5">
      <t>キソコウゲキリョク</t>
    </rPh>
    <phoneticPr fontId="1"/>
  </si>
  <si>
    <t>最終攻撃力</t>
    <rPh sb="0" eb="2">
      <t>サイシュウ</t>
    </rPh>
    <rPh sb="2" eb="5">
      <t>コウゲキリョク</t>
    </rPh>
    <phoneticPr fontId="1"/>
  </si>
  <si>
    <t>攻撃速度</t>
    <rPh sb="0" eb="4">
      <t>コウゲキソクド</t>
    </rPh>
    <phoneticPr fontId="1"/>
  </si>
  <si>
    <t>攻撃範囲</t>
    <rPh sb="0" eb="4">
      <t>コウゲキハンイ</t>
    </rPh>
    <phoneticPr fontId="1"/>
  </si>
  <si>
    <t>クリティカル率</t>
    <rPh sb="6" eb="7">
      <t>リツ</t>
    </rPh>
    <phoneticPr fontId="1"/>
  </si>
  <si>
    <t>移動速度</t>
    <rPh sb="0" eb="2">
      <t>イドウ</t>
    </rPh>
    <rPh sb="2" eb="4">
      <t>ソクド</t>
    </rPh>
    <phoneticPr fontId="1"/>
  </si>
  <si>
    <t>回収範囲</t>
    <rPh sb="0" eb="2">
      <t>カイシュウ</t>
    </rPh>
    <rPh sb="2" eb="4">
      <t>ハンイ</t>
    </rPh>
    <phoneticPr fontId="1"/>
  </si>
  <si>
    <t>幸運</t>
    <rPh sb="0" eb="2">
      <t>コウウン</t>
    </rPh>
    <phoneticPr fontId="1"/>
  </si>
  <si>
    <t>所持木材</t>
    <rPh sb="0" eb="2">
      <t>ショジ</t>
    </rPh>
    <rPh sb="2" eb="4">
      <t>モクザイ</t>
    </rPh>
    <phoneticPr fontId="1"/>
  </si>
  <si>
    <t>クリティカルダメージ</t>
    <phoneticPr fontId="1"/>
  </si>
  <si>
    <t>計算式</t>
    <rPh sb="0" eb="3">
      <t>ケイサンシキ</t>
    </rPh>
    <phoneticPr fontId="1"/>
  </si>
  <si>
    <t>基礎攻撃力×倍率攻撃力</t>
    <rPh sb="0" eb="2">
      <t>キソ</t>
    </rPh>
    <rPh sb="2" eb="5">
      <t>コウゲキリョク</t>
    </rPh>
    <phoneticPr fontId="1"/>
  </si>
  <si>
    <t>基になる攻撃力の値。
非接触ダメージはこの数値を参照する。</t>
    <rPh sb="0" eb="1">
      <t>モト</t>
    </rPh>
    <rPh sb="4" eb="7">
      <t>コウゲキリョク</t>
    </rPh>
    <rPh sb="8" eb="9">
      <t>アタイ</t>
    </rPh>
    <rPh sb="11" eb="12">
      <t>ヒ</t>
    </rPh>
    <rPh sb="12" eb="14">
      <t>セッショク</t>
    </rPh>
    <rPh sb="21" eb="23">
      <t>スウチ</t>
    </rPh>
    <rPh sb="24" eb="26">
      <t>サンショウ</t>
    </rPh>
    <phoneticPr fontId="1"/>
  </si>
  <si>
    <t>各効果から算出された最終的な攻撃力の値。
接触ダメージはこの数値を参照する。</t>
    <rPh sb="0" eb="1">
      <t>カク</t>
    </rPh>
    <rPh sb="1" eb="3">
      <t>コウカ</t>
    </rPh>
    <rPh sb="5" eb="7">
      <t>サンシュツ</t>
    </rPh>
    <rPh sb="10" eb="12">
      <t>サイシュウ</t>
    </rPh>
    <rPh sb="12" eb="13">
      <t>テキ</t>
    </rPh>
    <rPh sb="14" eb="17">
      <t>コウゲキリョク</t>
    </rPh>
    <rPh sb="18" eb="19">
      <t>アタイ</t>
    </rPh>
    <rPh sb="21" eb="23">
      <t>セッショク</t>
    </rPh>
    <rPh sb="30" eb="32">
      <t>スウチ</t>
    </rPh>
    <rPh sb="33" eb="35">
      <t>サンショウ</t>
    </rPh>
    <phoneticPr fontId="1"/>
  </si>
  <si>
    <t>斧を振る動作の全体速度。
基礎値は斧に表記された値。</t>
    <rPh sb="0" eb="1">
      <t>オノ</t>
    </rPh>
    <rPh sb="2" eb="3">
      <t>フ</t>
    </rPh>
    <rPh sb="4" eb="6">
      <t>ドウサ</t>
    </rPh>
    <rPh sb="7" eb="9">
      <t>ゼンタイ</t>
    </rPh>
    <rPh sb="9" eb="11">
      <t>ソクド</t>
    </rPh>
    <rPh sb="13" eb="16">
      <t>キソチ</t>
    </rPh>
    <rPh sb="17" eb="18">
      <t>オノ</t>
    </rPh>
    <rPh sb="19" eb="21">
      <t>ヒョウキ</t>
    </rPh>
    <rPh sb="24" eb="25">
      <t>アタイ</t>
    </rPh>
    <phoneticPr fontId="1"/>
  </si>
  <si>
    <t>斧の攻撃範囲。
この値に応じて接触判定が広がる。</t>
    <rPh sb="0" eb="1">
      <t>オノ</t>
    </rPh>
    <rPh sb="2" eb="6">
      <t>コウゲキハンイ</t>
    </rPh>
    <rPh sb="10" eb="11">
      <t>アタイ</t>
    </rPh>
    <rPh sb="12" eb="13">
      <t>オウ</t>
    </rPh>
    <rPh sb="15" eb="17">
      <t>セッショク</t>
    </rPh>
    <rPh sb="17" eb="19">
      <t>ハンテイ</t>
    </rPh>
    <rPh sb="20" eb="21">
      <t>ヒロ</t>
    </rPh>
    <phoneticPr fontId="1"/>
  </si>
  <si>
    <t>斧基礎範囲×倍率範囲</t>
    <rPh sb="0" eb="1">
      <t>オノ</t>
    </rPh>
    <rPh sb="1" eb="3">
      <t>キソ</t>
    </rPh>
    <rPh sb="3" eb="5">
      <t>ハンイ</t>
    </rPh>
    <rPh sb="6" eb="8">
      <t>バイリツ</t>
    </rPh>
    <rPh sb="8" eb="10">
      <t>ハンイ</t>
    </rPh>
    <phoneticPr fontId="1"/>
  </si>
  <si>
    <t>接触ダメージがクリティカルになる確率。
基礎値は5%で最大は100%。
オーバーした値の5%分はクリティカルダメージに反映される。
120%のクリティカル率なら1%のクリティカルダメージを獲得する。</t>
    <rPh sb="0" eb="2">
      <t>セッショク</t>
    </rPh>
    <rPh sb="16" eb="18">
      <t>カクリツ</t>
    </rPh>
    <rPh sb="20" eb="22">
      <t>キソ</t>
    </rPh>
    <rPh sb="22" eb="23">
      <t>チ</t>
    </rPh>
    <rPh sb="27" eb="29">
      <t>サイダイ</t>
    </rPh>
    <rPh sb="42" eb="43">
      <t>アタイ</t>
    </rPh>
    <rPh sb="46" eb="47">
      <t>ブン</t>
    </rPh>
    <rPh sb="59" eb="61">
      <t>ハンエイ</t>
    </rPh>
    <rPh sb="77" eb="78">
      <t>リツ</t>
    </rPh>
    <rPh sb="94" eb="96">
      <t>カクトク</t>
    </rPh>
    <phoneticPr fontId="1"/>
  </si>
  <si>
    <t>斧攻撃力＋加算攻撃力</t>
    <rPh sb="0" eb="1">
      <t>オノ</t>
    </rPh>
    <rPh sb="1" eb="3">
      <t>コウゲキ</t>
    </rPh>
    <rPh sb="3" eb="4">
      <t>リョク</t>
    </rPh>
    <rPh sb="5" eb="7">
      <t>カサン</t>
    </rPh>
    <rPh sb="7" eb="10">
      <t>コウゲキリョク</t>
    </rPh>
    <phoneticPr fontId="1"/>
  </si>
  <si>
    <t>クリティカル発生時の補正値。
基礎値は50%。</t>
    <rPh sb="6" eb="8">
      <t>ハッセイ</t>
    </rPh>
    <rPh sb="8" eb="9">
      <t>ジ</t>
    </rPh>
    <rPh sb="10" eb="13">
      <t>ホセイチ</t>
    </rPh>
    <rPh sb="15" eb="18">
      <t>キソチ</t>
    </rPh>
    <phoneticPr fontId="1"/>
  </si>
  <si>
    <t>基礎CD＋加算CD＋オーバークリティカルダメージ</t>
    <rPh sb="0" eb="2">
      <t>キソ</t>
    </rPh>
    <rPh sb="5" eb="7">
      <t>カサン</t>
    </rPh>
    <phoneticPr fontId="1"/>
  </si>
  <si>
    <t>移動速度。それ以上でも以下でもない。</t>
    <rPh sb="0" eb="2">
      <t>イドウ</t>
    </rPh>
    <rPh sb="2" eb="4">
      <t>ソクド</t>
    </rPh>
    <rPh sb="7" eb="9">
      <t>イジョウ</t>
    </rPh>
    <rPh sb="11" eb="13">
      <t>イカ</t>
    </rPh>
    <phoneticPr fontId="1"/>
  </si>
  <si>
    <t>基礎回収範囲＋加算回収範囲</t>
    <rPh sb="0" eb="2">
      <t>キソ</t>
    </rPh>
    <rPh sb="2" eb="4">
      <t>カイシュウ</t>
    </rPh>
    <rPh sb="4" eb="6">
      <t>ハンイ</t>
    </rPh>
    <rPh sb="7" eb="9">
      <t>カサン</t>
    </rPh>
    <rPh sb="9" eb="13">
      <t>カイシュウハンイ</t>
    </rPh>
    <phoneticPr fontId="1"/>
  </si>
  <si>
    <t>基礎幸運＋加算幸運</t>
    <rPh sb="0" eb="2">
      <t>キソ</t>
    </rPh>
    <rPh sb="2" eb="4">
      <t>コウウン</t>
    </rPh>
    <rPh sb="5" eb="7">
      <t>カサン</t>
    </rPh>
    <rPh sb="7" eb="9">
      <t>コウウン</t>
    </rPh>
    <phoneticPr fontId="1"/>
  </si>
  <si>
    <t>現在所持している木材の数。木材はガチャに使用する。</t>
    <rPh sb="0" eb="2">
      <t>ゲンザイ</t>
    </rPh>
    <rPh sb="2" eb="4">
      <t>ショジ</t>
    </rPh>
    <rPh sb="8" eb="10">
      <t>モクザイ</t>
    </rPh>
    <rPh sb="11" eb="12">
      <t>カズ</t>
    </rPh>
    <rPh sb="13" eb="15">
      <t>モクザイ</t>
    </rPh>
    <rPh sb="20" eb="22">
      <t>シヨウ</t>
    </rPh>
    <phoneticPr fontId="1"/>
  </si>
  <si>
    <t>ー</t>
    <phoneticPr fontId="1"/>
  </si>
  <si>
    <t>ダメージの種類</t>
    <rPh sb="5" eb="7">
      <t>シュルイ</t>
    </rPh>
    <phoneticPr fontId="1"/>
  </si>
  <si>
    <t>接触ダメージ</t>
    <rPh sb="0" eb="2">
      <t>セッショク</t>
    </rPh>
    <phoneticPr fontId="1"/>
  </si>
  <si>
    <t>非接触ダメージ</t>
    <rPh sb="0" eb="3">
      <t>ヒセッショク</t>
    </rPh>
    <phoneticPr fontId="1"/>
  </si>
  <si>
    <t xml:space="preserve">斧のヒットダメージを代表に、OnHitを持つダメージのこと。
クリティカルが発生する。
</t>
    <rPh sb="0" eb="1">
      <t>オノ</t>
    </rPh>
    <rPh sb="10" eb="12">
      <t>ダイヒョウ</t>
    </rPh>
    <rPh sb="20" eb="21">
      <t>モ</t>
    </rPh>
    <rPh sb="38" eb="40">
      <t>ハッセイ</t>
    </rPh>
    <phoneticPr fontId="1"/>
  </si>
  <si>
    <t>OnHitを持たないダメージのこと。
特殊効果でしか発生しない。（武器種が増えたらあるかも）
クリティカルは発生せず、基礎攻撃力のみを参照する。
相手の防御を計算しない。</t>
    <rPh sb="6" eb="7">
      <t>モ</t>
    </rPh>
    <rPh sb="19" eb="21">
      <t>トクシュ</t>
    </rPh>
    <rPh sb="21" eb="23">
      <t>コウカ</t>
    </rPh>
    <rPh sb="26" eb="28">
      <t>ハッセイ</t>
    </rPh>
    <rPh sb="33" eb="36">
      <t>ブキシュ</t>
    </rPh>
    <rPh sb="37" eb="38">
      <t>フ</t>
    </rPh>
    <rPh sb="54" eb="56">
      <t>ハッセイ</t>
    </rPh>
    <rPh sb="59" eb="61">
      <t>キソ</t>
    </rPh>
    <rPh sb="61" eb="64">
      <t>コウゲキリョク</t>
    </rPh>
    <rPh sb="67" eb="69">
      <t>サンショウ</t>
    </rPh>
    <rPh sb="73" eb="75">
      <t>アイテ</t>
    </rPh>
    <rPh sb="76" eb="78">
      <t>ボウギョ</t>
    </rPh>
    <rPh sb="79" eb="81">
      <t>ケイサン</t>
    </rPh>
    <phoneticPr fontId="1"/>
  </si>
  <si>
    <t>技倍率×基礎攻撃力</t>
    <rPh sb="0" eb="1">
      <t>ワザ</t>
    </rPh>
    <rPh sb="1" eb="3">
      <t>バイリツ</t>
    </rPh>
    <rPh sb="4" eb="9">
      <t>キソコウゲキリョク</t>
    </rPh>
    <phoneticPr fontId="1"/>
  </si>
  <si>
    <t>ビルド名</t>
    <rPh sb="3" eb="4">
      <t>メイ</t>
    </rPh>
    <phoneticPr fontId="1"/>
  </si>
  <si>
    <t>重要ユニーク効果</t>
    <rPh sb="0" eb="2">
      <t>ジュウヨウ</t>
    </rPh>
    <rPh sb="6" eb="8">
      <t>コウカ</t>
    </rPh>
    <phoneticPr fontId="1"/>
  </si>
  <si>
    <t>一撃ビルド</t>
    <rPh sb="0" eb="2">
      <t>イチゲキ</t>
    </rPh>
    <phoneticPr fontId="1"/>
  </si>
  <si>
    <t>オーバー切る</t>
    <rPh sb="4" eb="5">
      <t>キ</t>
    </rPh>
    <phoneticPr fontId="1"/>
  </si>
  <si>
    <t>重要なパラメータ</t>
    <rPh sb="0" eb="2">
      <t>ジュウヨウ</t>
    </rPh>
    <phoneticPr fontId="1"/>
  </si>
  <si>
    <t>最終攻撃力、クリティカル率、クリティカルダメージ</t>
    <rPh sb="0" eb="5">
      <t>サイシュウコウゲキリョク</t>
    </rPh>
    <rPh sb="12" eb="13">
      <t>リツ</t>
    </rPh>
    <phoneticPr fontId="1"/>
  </si>
  <si>
    <t>接触ダメージを高めるビルド。高いダメージを、
オーバー切るにより伝播させることで効率的に一層できる。</t>
    <rPh sb="0" eb="2">
      <t>セッショク</t>
    </rPh>
    <rPh sb="7" eb="8">
      <t>タカ</t>
    </rPh>
    <rPh sb="14" eb="15">
      <t>タカ</t>
    </rPh>
    <rPh sb="27" eb="28">
      <t>キ</t>
    </rPh>
    <rPh sb="32" eb="34">
      <t>デンパ</t>
    </rPh>
    <rPh sb="40" eb="42">
      <t>コウリツ</t>
    </rPh>
    <rPh sb="42" eb="43">
      <t>テキ</t>
    </rPh>
    <rPh sb="44" eb="46">
      <t>イッソウ</t>
    </rPh>
    <phoneticPr fontId="1"/>
  </si>
  <si>
    <t>速度範囲ビルド</t>
    <rPh sb="0" eb="2">
      <t>ソクド</t>
    </rPh>
    <rPh sb="2" eb="4">
      <t>ハンイ</t>
    </rPh>
    <phoneticPr fontId="1"/>
  </si>
  <si>
    <t>攻撃速度と範囲を高めるビルド。
OnHitで発動する効果を大量に発生させ、手数で攻める。</t>
    <rPh sb="0" eb="4">
      <t>コウゲキソクド</t>
    </rPh>
    <rPh sb="5" eb="7">
      <t>ハンイ</t>
    </rPh>
    <rPh sb="8" eb="9">
      <t>タカ</t>
    </rPh>
    <rPh sb="22" eb="24">
      <t>ハツドウ</t>
    </rPh>
    <rPh sb="26" eb="28">
      <t>コウカ</t>
    </rPh>
    <rPh sb="29" eb="31">
      <t>タイリョウ</t>
    </rPh>
    <rPh sb="32" eb="34">
      <t>ハッセイ</t>
    </rPh>
    <rPh sb="37" eb="39">
      <t>テカズ</t>
    </rPh>
    <rPh sb="40" eb="41">
      <t>セ</t>
    </rPh>
    <phoneticPr fontId="1"/>
  </si>
  <si>
    <t>基礎攻撃力、攻撃速度、攻撃範囲</t>
    <rPh sb="0" eb="2">
      <t>キソ</t>
    </rPh>
    <rPh sb="2" eb="5">
      <t>コウゲキリョク</t>
    </rPh>
    <rPh sb="6" eb="10">
      <t>コウゲキソクド</t>
    </rPh>
    <rPh sb="11" eb="13">
      <t>コウゲキ</t>
    </rPh>
    <rPh sb="13" eb="15">
      <t>ハンイ</t>
    </rPh>
    <phoneticPr fontId="1"/>
  </si>
  <si>
    <t>木材の妖精</t>
    <rPh sb="0" eb="2">
      <t>モクザイ</t>
    </rPh>
    <rPh sb="3" eb="5">
      <t>ヨウセイ</t>
    </rPh>
    <phoneticPr fontId="1"/>
  </si>
  <si>
    <t>回収ビルド</t>
    <rPh sb="0" eb="2">
      <t>カイシュウ</t>
    </rPh>
    <phoneticPr fontId="1"/>
  </si>
  <si>
    <t>木材を拾うことがトリガーとなるビルド。
最終的には歩いて回収するだけで破壊し続けるようになる。</t>
    <rPh sb="0" eb="2">
      <t>モクザイ</t>
    </rPh>
    <rPh sb="3" eb="4">
      <t>ヒロ</t>
    </rPh>
    <rPh sb="20" eb="23">
      <t>サイシュウテキ</t>
    </rPh>
    <rPh sb="25" eb="26">
      <t>アル</t>
    </rPh>
    <rPh sb="28" eb="30">
      <t>カイシュウ</t>
    </rPh>
    <rPh sb="35" eb="37">
      <t>ハカイ</t>
    </rPh>
    <rPh sb="38" eb="39">
      <t>ツヅ</t>
    </rPh>
    <phoneticPr fontId="1"/>
  </si>
  <si>
    <t>回収範囲、基礎攻撃力、幸運</t>
    <rPh sb="0" eb="4">
      <t>カイシュウハンイ</t>
    </rPh>
    <rPh sb="5" eb="7">
      <t>キソ</t>
    </rPh>
    <rPh sb="7" eb="10">
      <t>コウゲキリョク</t>
    </rPh>
    <rPh sb="8" eb="10">
      <t>コウウン</t>
    </rPh>
    <phoneticPr fontId="1"/>
  </si>
  <si>
    <t>効果名</t>
    <rPh sb="0" eb="2">
      <t>コウカ</t>
    </rPh>
    <rPh sb="2" eb="3">
      <t>メイ</t>
    </rPh>
    <phoneticPr fontId="1"/>
  </si>
  <si>
    <t>効果</t>
    <rPh sb="0" eb="2">
      <t>コウカ</t>
    </rPh>
    <phoneticPr fontId="1"/>
  </si>
  <si>
    <t>特記事項</t>
    <rPh sb="0" eb="2">
      <t>トッキ</t>
    </rPh>
    <rPh sb="2" eb="4">
      <t>ジコウ</t>
    </rPh>
    <phoneticPr fontId="1"/>
  </si>
  <si>
    <t>飛ぶ斧</t>
    <rPh sb="0" eb="1">
      <t>ト</t>
    </rPh>
    <rPh sb="2" eb="3">
      <t>オノ</t>
    </rPh>
    <phoneticPr fontId="1"/>
  </si>
  <si>
    <t>木の体力を超えた接触ダメージが一番近い木に伝播するようになる。
このダメージは接触ダメージになる。</t>
    <rPh sb="0" eb="1">
      <t>キ</t>
    </rPh>
    <rPh sb="2" eb="4">
      <t>タイリョク</t>
    </rPh>
    <rPh sb="5" eb="6">
      <t>コ</t>
    </rPh>
    <rPh sb="8" eb="10">
      <t>セッショク</t>
    </rPh>
    <rPh sb="15" eb="17">
      <t>イチバン</t>
    </rPh>
    <rPh sb="17" eb="18">
      <t>チカ</t>
    </rPh>
    <rPh sb="19" eb="20">
      <t>キ</t>
    </rPh>
    <rPh sb="21" eb="23">
      <t>デンパ</t>
    </rPh>
    <rPh sb="39" eb="41">
      <t>セッショク</t>
    </rPh>
    <phoneticPr fontId="1"/>
  </si>
  <si>
    <t>範囲が広がって複数にヒットした場合の処理をどうするか</t>
    <rPh sb="0" eb="2">
      <t>ハンイ</t>
    </rPh>
    <rPh sb="3" eb="4">
      <t>ヒロ</t>
    </rPh>
    <rPh sb="7" eb="9">
      <t>フクスウ</t>
    </rPh>
    <rPh sb="15" eb="17">
      <t>バアイ</t>
    </rPh>
    <rPh sb="18" eb="20">
      <t>ショリ</t>
    </rPh>
    <phoneticPr fontId="1"/>
  </si>
  <si>
    <t>接触ダメージを与えたとき、150%の非接触ダメージを与える斧が、
一番近い木に飛ぶ。</t>
    <rPh sb="0" eb="2">
      <t>セッショク</t>
    </rPh>
    <rPh sb="7" eb="8">
      <t>アタ</t>
    </rPh>
    <rPh sb="18" eb="19">
      <t>ヒ</t>
    </rPh>
    <rPh sb="19" eb="21">
      <t>セッショク</t>
    </rPh>
    <rPh sb="26" eb="27">
      <t>アタ</t>
    </rPh>
    <rPh sb="29" eb="30">
      <t>オノ</t>
    </rPh>
    <rPh sb="33" eb="36">
      <t>イチバンチカ</t>
    </rPh>
    <rPh sb="37" eb="38">
      <t>キ</t>
    </rPh>
    <rPh sb="39" eb="40">
      <t>ト</t>
    </rPh>
    <phoneticPr fontId="1"/>
  </si>
  <si>
    <t>木材を拾った時に30％の基礎確率で一番近くの木に100%の
非接触ダメージを与える木材が飛ぶ。
木材が飛ぶ確率は幸運によって100%まで伸びる。</t>
    <rPh sb="0" eb="2">
      <t>モクザイ</t>
    </rPh>
    <rPh sb="3" eb="4">
      <t>ヒロ</t>
    </rPh>
    <rPh sb="6" eb="7">
      <t>トキ</t>
    </rPh>
    <rPh sb="12" eb="16">
      <t>キソカクリツ</t>
    </rPh>
    <rPh sb="17" eb="19">
      <t>イチバン</t>
    </rPh>
    <rPh sb="19" eb="20">
      <t>チカ</t>
    </rPh>
    <rPh sb="22" eb="23">
      <t>キ</t>
    </rPh>
    <rPh sb="30" eb="33">
      <t>ヒセッショク</t>
    </rPh>
    <rPh sb="38" eb="39">
      <t>アタ</t>
    </rPh>
    <rPh sb="41" eb="43">
      <t>モクザイ</t>
    </rPh>
    <rPh sb="44" eb="45">
      <t>ト</t>
    </rPh>
    <rPh sb="48" eb="50">
      <t>モクザイ</t>
    </rPh>
    <rPh sb="51" eb="52">
      <t>ト</t>
    </rPh>
    <rPh sb="53" eb="55">
      <t>カクリツ</t>
    </rPh>
    <rPh sb="56" eb="58">
      <t>コウウン</t>
    </rPh>
    <rPh sb="68" eb="69">
      <t>ノ</t>
    </rPh>
    <phoneticPr fontId="1"/>
  </si>
  <si>
    <t>変動値表</t>
    <rPh sb="0" eb="3">
      <t>ヘンドウチ</t>
    </rPh>
    <rPh sb="3" eb="4">
      <t>ヒョウ</t>
    </rPh>
    <phoneticPr fontId="1"/>
  </si>
  <si>
    <t>基礎クリティカル＋加算クリティカル率
(オーバークリティカルダメージ)
(最終クリティカル率ー100)×0.05</t>
    <rPh sb="0" eb="2">
      <t>キソ</t>
    </rPh>
    <rPh sb="9" eb="11">
      <t>カサン</t>
    </rPh>
    <rPh sb="17" eb="18">
      <t>リツ</t>
    </rPh>
    <rPh sb="37" eb="39">
      <t>サイシュウ</t>
    </rPh>
    <rPh sb="45" eb="46">
      <t>リツ</t>
    </rPh>
    <phoneticPr fontId="1"/>
  </si>
  <si>
    <t>攻撃力＋〇</t>
    <rPh sb="0" eb="3">
      <t>コウゲキリョク</t>
    </rPh>
    <phoneticPr fontId="1"/>
  </si>
  <si>
    <t>攻撃力×〇％</t>
    <rPh sb="0" eb="3">
      <t>コウゲキリョク</t>
    </rPh>
    <phoneticPr fontId="1"/>
  </si>
  <si>
    <t>攻撃速度×〇％</t>
    <rPh sb="0" eb="2">
      <t>コウゲキ</t>
    </rPh>
    <rPh sb="2" eb="4">
      <t>ソクド</t>
    </rPh>
    <phoneticPr fontId="1"/>
  </si>
  <si>
    <t>範囲×〇％</t>
    <phoneticPr fontId="1"/>
  </si>
  <si>
    <t>クリティカル＋〇％</t>
    <phoneticPr fontId="1"/>
  </si>
  <si>
    <t>クリティカルダメージ＋〇％</t>
    <phoneticPr fontId="1"/>
  </si>
  <si>
    <t>移動速度×〇％</t>
    <rPh sb="0" eb="4">
      <t>イドウソクド</t>
    </rPh>
    <phoneticPr fontId="1"/>
  </si>
  <si>
    <t>回収範囲＋〇</t>
    <rPh sb="0" eb="4">
      <t>カイシュウハンイ</t>
    </rPh>
    <phoneticPr fontId="1"/>
  </si>
  <si>
    <t>初期値</t>
    <rPh sb="0" eb="3">
      <t>ショキチ</t>
    </rPh>
    <phoneticPr fontId="1"/>
  </si>
  <si>
    <t>斧基礎速度×倍率攻撃速度</t>
    <rPh sb="0" eb="1">
      <t>オノ</t>
    </rPh>
    <rPh sb="1" eb="5">
      <t>キソソクド</t>
    </rPh>
    <rPh sb="6" eb="8">
      <t>バイリツ</t>
    </rPh>
    <rPh sb="8" eb="10">
      <t>コウゲキ</t>
    </rPh>
    <rPh sb="10" eb="12">
      <t>ソクド</t>
    </rPh>
    <phoneticPr fontId="1"/>
  </si>
  <si>
    <t>基礎移動速度×倍率移動速度</t>
    <rPh sb="0" eb="2">
      <t>キソ</t>
    </rPh>
    <rPh sb="2" eb="4">
      <t>イドウ</t>
    </rPh>
    <rPh sb="4" eb="5">
      <t>ソク</t>
    </rPh>
    <phoneticPr fontId="1"/>
  </si>
  <si>
    <t>木材を拾う範囲。
単位はcm。</t>
    <rPh sb="0" eb="2">
      <t>モクザイ</t>
    </rPh>
    <rPh sb="3" eb="4">
      <t>ヒロ</t>
    </rPh>
    <rPh sb="5" eb="7">
      <t>ハンイ</t>
    </rPh>
    <rPh sb="9" eb="11">
      <t>タンイ</t>
    </rPh>
    <phoneticPr fontId="1"/>
  </si>
  <si>
    <t>基礎値表</t>
    <rPh sb="0" eb="3">
      <t>キソチ</t>
    </rPh>
    <rPh sb="3" eb="4">
      <t>ヒョウ</t>
    </rPh>
    <phoneticPr fontId="1"/>
  </si>
  <si>
    <t>効果一覧</t>
    <rPh sb="0" eb="2">
      <t>コウカ</t>
    </rPh>
    <rPh sb="2" eb="4">
      <t>イチラン</t>
    </rPh>
    <phoneticPr fontId="1"/>
  </si>
  <si>
    <t>コモン</t>
    <phoneticPr fontId="1"/>
  </si>
  <si>
    <t>マジック</t>
    <phoneticPr fontId="1"/>
  </si>
  <si>
    <t>レア</t>
    <phoneticPr fontId="1"/>
  </si>
  <si>
    <t>レジェンド</t>
    <phoneticPr fontId="1"/>
  </si>
  <si>
    <t>ミシック</t>
    <phoneticPr fontId="1"/>
  </si>
  <si>
    <t>幸運500で最大値。</t>
    <rPh sb="0" eb="2">
      <t>コウウン</t>
    </rPh>
    <rPh sb="6" eb="8">
      <t>サイダイ</t>
    </rPh>
    <rPh sb="8" eb="9">
      <t>チ</t>
    </rPh>
    <phoneticPr fontId="1"/>
  </si>
  <si>
    <t>最大値</t>
    <rPh sb="0" eb="3">
      <t>サイダイチ</t>
    </rPh>
    <phoneticPr fontId="1"/>
  </si>
  <si>
    <t>8+1</t>
    <phoneticPr fontId="1"/>
  </si>
  <si>
    <t>レアリティ</t>
    <phoneticPr fontId="1"/>
  </si>
  <si>
    <t>倍率</t>
    <rPh sb="0" eb="2">
      <t>バイリツ</t>
    </rPh>
    <phoneticPr fontId="1"/>
  </si>
  <si>
    <t>効果の数</t>
    <rPh sb="0" eb="2">
      <t>コウカ</t>
    </rPh>
    <rPh sb="3" eb="4">
      <t>カズ</t>
    </rPh>
    <phoneticPr fontId="1"/>
  </si>
  <si>
    <t>ガチャコスト</t>
    <phoneticPr fontId="1"/>
  </si>
  <si>
    <t>確率合計</t>
    <rPh sb="0" eb="2">
      <t>カクリツ</t>
    </rPh>
    <rPh sb="2" eb="4">
      <t>ゴウケイ</t>
    </rPh>
    <phoneticPr fontId="1"/>
  </si>
  <si>
    <t>レベル１最大値</t>
    <rPh sb="4" eb="7">
      <t>サイダイチ</t>
    </rPh>
    <phoneticPr fontId="1"/>
  </si>
  <si>
    <t>運。木材のドロップ数が増加する。
(幸運100毎に本数＋１、余りを%として計算し＋1するか処理する)</t>
    <rPh sb="0" eb="1">
      <t>ウン</t>
    </rPh>
    <rPh sb="2" eb="4">
      <t>モクザイ</t>
    </rPh>
    <rPh sb="9" eb="10">
      <t>スウ</t>
    </rPh>
    <rPh sb="11" eb="13">
      <t>ゾウカ</t>
    </rPh>
    <rPh sb="18" eb="20">
      <t>コウウン</t>
    </rPh>
    <rPh sb="23" eb="24">
      <t>ゴト</t>
    </rPh>
    <rPh sb="25" eb="27">
      <t>ホンスウ</t>
    </rPh>
    <rPh sb="30" eb="31">
      <t>アマ</t>
    </rPh>
    <rPh sb="37" eb="39">
      <t>ケイサン</t>
    </rPh>
    <rPh sb="45" eb="47">
      <t>ショリ</t>
    </rPh>
    <phoneticPr fontId="1"/>
  </si>
  <si>
    <t>効果の計算式：木こり場レベルによる基礎値＋(変動値×木こり場レベル)×レアリティ倍率</t>
    <rPh sb="0" eb="2">
      <t>コウカ</t>
    </rPh>
    <rPh sb="3" eb="5">
      <t>ケイサン</t>
    </rPh>
    <rPh sb="5" eb="6">
      <t>シキ</t>
    </rPh>
    <rPh sb="7" eb="8">
      <t>キ</t>
    </rPh>
    <rPh sb="10" eb="11">
      <t>バ</t>
    </rPh>
    <rPh sb="26" eb="27">
      <t>キ</t>
    </rPh>
    <rPh sb="29" eb="30">
      <t>バ</t>
    </rPh>
    <phoneticPr fontId="1"/>
  </si>
  <si>
    <t>木こり場レベル</t>
    <rPh sb="0" eb="1">
      <t>キ</t>
    </rPh>
    <rPh sb="3" eb="4">
      <t>バ</t>
    </rPh>
    <phoneticPr fontId="1"/>
  </si>
  <si>
    <t>体力</t>
    <rPh sb="0" eb="2">
      <t>タイリョク</t>
    </rPh>
    <phoneticPr fontId="1"/>
  </si>
  <si>
    <t>防御力</t>
    <rPh sb="0" eb="3">
      <t>ボウギョリョク</t>
    </rPh>
    <phoneticPr fontId="1"/>
  </si>
  <si>
    <t>木</t>
    <rPh sb="0" eb="1">
      <t>キ</t>
    </rPh>
    <phoneticPr fontId="1"/>
  </si>
  <si>
    <t>斧</t>
    <rPh sb="0" eb="1">
      <t>オノ</t>
    </rPh>
    <phoneticPr fontId="1"/>
  </si>
  <si>
    <t>攻撃力</t>
    <rPh sb="0" eb="2">
      <t>コウゲキ</t>
    </rPh>
    <rPh sb="2" eb="3">
      <t>リョク</t>
    </rPh>
    <phoneticPr fontId="1"/>
  </si>
  <si>
    <t>基礎値ダメージ</t>
    <rPh sb="0" eb="3">
      <t>キソチ</t>
    </rPh>
    <phoneticPr fontId="1"/>
  </si>
  <si>
    <t>攻撃回数</t>
    <rPh sb="0" eb="4">
      <t>コウゲキカイスウ</t>
    </rPh>
    <phoneticPr fontId="1"/>
  </si>
  <si>
    <t>二刀流</t>
    <rPh sb="0" eb="3">
      <t>ニトウリュウ</t>
    </rPh>
    <phoneticPr fontId="1"/>
  </si>
  <si>
    <t>斧を二本もち交互に振ることで、斧の基礎攻撃速度が2になる。</t>
    <rPh sb="0" eb="1">
      <t>オノ</t>
    </rPh>
    <rPh sb="2" eb="3">
      <t>フタ</t>
    </rPh>
    <rPh sb="3" eb="4">
      <t>ホン</t>
    </rPh>
    <rPh sb="6" eb="8">
      <t>コウゴ</t>
    </rPh>
    <rPh sb="9" eb="10">
      <t>フ</t>
    </rPh>
    <rPh sb="15" eb="16">
      <t>オノ</t>
    </rPh>
    <phoneticPr fontId="1"/>
  </si>
  <si>
    <t>アニメーションを二つの斧を振るものに変更。by海斗</t>
    <rPh sb="8" eb="9">
      <t>フタ</t>
    </rPh>
    <rPh sb="11" eb="12">
      <t>オノ</t>
    </rPh>
    <rPh sb="13" eb="14">
      <t>フ</t>
    </rPh>
    <rPh sb="18" eb="20">
      <t>ヘンコウ</t>
    </rPh>
    <rPh sb="23" eb="25">
      <t>カイト</t>
    </rPh>
    <phoneticPr fontId="1"/>
  </si>
  <si>
    <t>奇跡のクリティカル</t>
    <rPh sb="0" eb="2">
      <t>キセキ</t>
    </rPh>
    <phoneticPr fontId="1"/>
  </si>
  <si>
    <t>オーバークリティカルダメージの反映倍率を150%にする。</t>
    <rPh sb="15" eb="17">
      <t>ハンエイ</t>
    </rPh>
    <rPh sb="17" eb="19">
      <t>バイリツ</t>
    </rPh>
    <phoneticPr fontId="1"/>
  </si>
  <si>
    <t>※同じユニーク効果は重複しない</t>
    <rPh sb="1" eb="2">
      <t>オナ</t>
    </rPh>
    <rPh sb="7" eb="9">
      <t>コウカ</t>
    </rPh>
    <rPh sb="10" eb="12">
      <t>ジュウフク</t>
    </rPh>
    <phoneticPr fontId="1"/>
  </si>
  <si>
    <t>範囲破壊ビルド</t>
    <rPh sb="0" eb="2">
      <t>ハンイ</t>
    </rPh>
    <rPh sb="2" eb="4">
      <t>ハカイ</t>
    </rPh>
    <phoneticPr fontId="1"/>
  </si>
  <si>
    <t>攻撃範囲を軸に範囲と火力を高めるビルド。
ユニークを3つ使うことで完成するため構築難度が高いが、
一振りで全て破壊できるようになる。</t>
    <rPh sb="0" eb="2">
      <t>コウゲキ</t>
    </rPh>
    <rPh sb="2" eb="4">
      <t>ハンイ</t>
    </rPh>
    <rPh sb="5" eb="6">
      <t>ジク</t>
    </rPh>
    <rPh sb="7" eb="9">
      <t>ハンイ</t>
    </rPh>
    <rPh sb="10" eb="12">
      <t>カリョク</t>
    </rPh>
    <rPh sb="13" eb="14">
      <t>タカ</t>
    </rPh>
    <rPh sb="28" eb="29">
      <t>ツカ</t>
    </rPh>
    <rPh sb="33" eb="35">
      <t>カンセイ</t>
    </rPh>
    <rPh sb="39" eb="41">
      <t>コウチク</t>
    </rPh>
    <rPh sb="41" eb="43">
      <t>ナンド</t>
    </rPh>
    <rPh sb="44" eb="45">
      <t>タカ</t>
    </rPh>
    <rPh sb="49" eb="51">
      <t>ヒトフ</t>
    </rPh>
    <rPh sb="53" eb="54">
      <t>スベ</t>
    </rPh>
    <rPh sb="55" eb="57">
      <t>ハカイ</t>
    </rPh>
    <phoneticPr fontId="1"/>
  </si>
  <si>
    <t>質より量</t>
    <rPh sb="0" eb="1">
      <t>シツ</t>
    </rPh>
    <rPh sb="3" eb="4">
      <t>リョウ</t>
    </rPh>
    <phoneticPr fontId="1"/>
  </si>
  <si>
    <t>デザイナーズコンボ１</t>
    <phoneticPr fontId="1"/>
  </si>
  <si>
    <t>デザイナーズコンボ２</t>
    <phoneticPr fontId="1"/>
  </si>
  <si>
    <t>攻撃範囲の50%を基礎攻撃力に加算する。</t>
    <rPh sb="0" eb="2">
      <t>コウゲキ</t>
    </rPh>
    <rPh sb="2" eb="4">
      <t>ハンイ</t>
    </rPh>
    <rPh sb="9" eb="14">
      <t>キソコウゲキリョク</t>
    </rPh>
    <rPh sb="15" eb="17">
      <t>カサン</t>
    </rPh>
    <phoneticPr fontId="1"/>
  </si>
  <si>
    <t>デザイナーズコンボ３</t>
  </si>
  <si>
    <t>範囲火力</t>
    <rPh sb="0" eb="2">
      <t>ハンイ</t>
    </rPh>
    <rPh sb="2" eb="4">
      <t>カリョク</t>
    </rPh>
    <phoneticPr fontId="1"/>
  </si>
  <si>
    <t>奇跡のクリティカル
質より量
範囲火力</t>
    <rPh sb="0" eb="2">
      <t>キセキ</t>
    </rPh>
    <rPh sb="10" eb="11">
      <t>シツ</t>
    </rPh>
    <rPh sb="13" eb="14">
      <t>リョウ</t>
    </rPh>
    <rPh sb="15" eb="19">
      <t>ハンイカリョク</t>
    </rPh>
    <phoneticPr fontId="1"/>
  </si>
  <si>
    <t>一度の攻撃で当たった木の数に応じてクリティカルが+50%増える。</t>
    <rPh sb="0" eb="2">
      <t>イチド</t>
    </rPh>
    <rPh sb="3" eb="5">
      <t>コウゲキ</t>
    </rPh>
    <rPh sb="6" eb="7">
      <t>ア</t>
    </rPh>
    <rPh sb="10" eb="11">
      <t>キ</t>
    </rPh>
    <rPh sb="12" eb="13">
      <t>カズ</t>
    </rPh>
    <rPh sb="14" eb="15">
      <t>オウ</t>
    </rPh>
    <rPh sb="28" eb="29">
      <t>フ</t>
    </rPh>
    <phoneticPr fontId="1"/>
  </si>
  <si>
    <t>木材を拾った時、回収範囲内の全ての木に50％の非接触ダメージを与える。</t>
    <rPh sb="0" eb="2">
      <t>モクザイ</t>
    </rPh>
    <rPh sb="3" eb="4">
      <t>ヒロ</t>
    </rPh>
    <rPh sb="6" eb="7">
      <t>トキ</t>
    </rPh>
    <rPh sb="8" eb="10">
      <t>カイシュウ</t>
    </rPh>
    <rPh sb="10" eb="12">
      <t>ハンイ</t>
    </rPh>
    <rPh sb="12" eb="13">
      <t>ナイ</t>
    </rPh>
    <rPh sb="14" eb="15">
      <t>スベ</t>
    </rPh>
    <rPh sb="17" eb="18">
      <t>キ</t>
    </rPh>
    <rPh sb="23" eb="26">
      <t>ヒセッショク</t>
    </rPh>
    <rPh sb="31" eb="32">
      <t>アタ</t>
    </rPh>
    <phoneticPr fontId="1"/>
  </si>
  <si>
    <t>波動</t>
    <rPh sb="0" eb="2">
      <t>ハドウ</t>
    </rPh>
    <phoneticPr fontId="1"/>
  </si>
  <si>
    <t>木材を拾うごとに、10秒間回収範囲＋50を得る。
効果時間は拾うたびに更新される。</t>
    <rPh sb="0" eb="2">
      <t>モクザイ</t>
    </rPh>
    <rPh sb="3" eb="4">
      <t>ヒロ</t>
    </rPh>
    <rPh sb="11" eb="12">
      <t>ビョウ</t>
    </rPh>
    <rPh sb="12" eb="13">
      <t>カン</t>
    </rPh>
    <rPh sb="13" eb="17">
      <t>カイシュウハンイ</t>
    </rPh>
    <rPh sb="21" eb="22">
      <t>エ</t>
    </rPh>
    <rPh sb="25" eb="29">
      <t>コウカジカン</t>
    </rPh>
    <rPh sb="30" eb="31">
      <t>ヒロ</t>
    </rPh>
    <rPh sb="35" eb="37">
      <t>コウシン</t>
    </rPh>
    <phoneticPr fontId="1"/>
  </si>
  <si>
    <t>片付け上手</t>
    <rPh sb="0" eb="2">
      <t>カタヅ</t>
    </rPh>
    <rPh sb="3" eb="5">
      <t>ジョウズ</t>
    </rPh>
    <phoneticPr fontId="1"/>
  </si>
  <si>
    <t>妖精ビルド</t>
    <rPh sb="0" eb="2">
      <t>ヨウセイ</t>
    </rPh>
    <phoneticPr fontId="1"/>
  </si>
  <si>
    <t>妖精ビルドと同様に木材を拾うだけになるビルド。
回収範囲と基礎攻撃力が大事。</t>
    <rPh sb="0" eb="2">
      <t>ヨウセイ</t>
    </rPh>
    <rPh sb="6" eb="8">
      <t>ドウヨウ</t>
    </rPh>
    <rPh sb="9" eb="11">
      <t>モクザイ</t>
    </rPh>
    <rPh sb="12" eb="13">
      <t>ヒロ</t>
    </rPh>
    <rPh sb="24" eb="28">
      <t>カイシュウハンイ</t>
    </rPh>
    <rPh sb="29" eb="34">
      <t>キソコウゲキリョク</t>
    </rPh>
    <rPh sb="35" eb="37">
      <t>ダイジ</t>
    </rPh>
    <phoneticPr fontId="1"/>
  </si>
  <si>
    <t>波動
片付け上手</t>
    <rPh sb="0" eb="2">
      <t>ハドウ</t>
    </rPh>
    <rPh sb="3" eb="5">
      <t>カタヅ</t>
    </rPh>
    <rPh sb="6" eb="8">
      <t>ジョウズ</t>
    </rPh>
    <phoneticPr fontId="1"/>
  </si>
  <si>
    <t>攻撃範囲、最終攻撃力</t>
    <rPh sb="0" eb="4">
      <t>コウゲキハンイ</t>
    </rPh>
    <rPh sb="5" eb="10">
      <t>サイシュウコウゲキリョク</t>
    </rPh>
    <phoneticPr fontId="1"/>
  </si>
  <si>
    <t>飛ぶ斧
二刀流</t>
    <rPh sb="0" eb="1">
      <t>ト</t>
    </rPh>
    <rPh sb="2" eb="3">
      <t>オノ</t>
    </rPh>
    <rPh sb="4" eb="7">
      <t>ニトウリュウ</t>
    </rPh>
    <phoneticPr fontId="1"/>
  </si>
  <si>
    <t>移動速度15で最大。</t>
    <rPh sb="0" eb="4">
      <t>イドウソクド</t>
    </rPh>
    <rPh sb="7" eb="9">
      <t>サイダイ</t>
    </rPh>
    <phoneticPr fontId="1"/>
  </si>
  <si>
    <t>移動中、進行方向に貫通する80%の接触ダメージを与える斬撃を飛ばす。
発生間隔は移動速度に応じて短くなり、0.1秒間隔が最速。</t>
    <rPh sb="0" eb="2">
      <t>イドウ</t>
    </rPh>
    <rPh sb="2" eb="3">
      <t>チュウ</t>
    </rPh>
    <rPh sb="4" eb="6">
      <t>シンコウ</t>
    </rPh>
    <rPh sb="6" eb="8">
      <t>ホウコウ</t>
    </rPh>
    <rPh sb="9" eb="11">
      <t>カンツウ</t>
    </rPh>
    <rPh sb="17" eb="19">
      <t>セッショク</t>
    </rPh>
    <rPh sb="24" eb="25">
      <t>アタ</t>
    </rPh>
    <rPh sb="27" eb="29">
      <t>ザンゲキ</t>
    </rPh>
    <rPh sb="30" eb="31">
      <t>ト</t>
    </rPh>
    <rPh sb="35" eb="37">
      <t>ハッセイ</t>
    </rPh>
    <rPh sb="37" eb="39">
      <t>カンカク</t>
    </rPh>
    <rPh sb="40" eb="44">
      <t>イドウソクド</t>
    </rPh>
    <rPh sb="45" eb="46">
      <t>オウ</t>
    </rPh>
    <rPh sb="48" eb="49">
      <t>ミジカ</t>
    </rPh>
    <rPh sb="56" eb="57">
      <t>ビョウ</t>
    </rPh>
    <rPh sb="57" eb="59">
      <t>カンカク</t>
    </rPh>
    <rPh sb="60" eb="62">
      <t>サイソク</t>
    </rPh>
    <phoneticPr fontId="1"/>
  </si>
  <si>
    <t>剣波</t>
    <rPh sb="0" eb="1">
      <t>ケン</t>
    </rPh>
    <rPh sb="1" eb="2">
      <t>ハ</t>
    </rPh>
    <phoneticPr fontId="1"/>
  </si>
  <si>
    <t>ランナー</t>
    <phoneticPr fontId="1"/>
  </si>
  <si>
    <t>移動中、毎秒基礎攻撃力が1ずつ増加する。
攻撃を行うか0.5秒間移動しないでいるとリセットされる。</t>
    <rPh sb="0" eb="2">
      <t>イドウ</t>
    </rPh>
    <rPh sb="2" eb="3">
      <t>チュウ</t>
    </rPh>
    <rPh sb="4" eb="6">
      <t>マイビョウ</t>
    </rPh>
    <rPh sb="6" eb="11">
      <t>キソコウゲキリョク</t>
    </rPh>
    <rPh sb="15" eb="17">
      <t>ゾウカ</t>
    </rPh>
    <rPh sb="21" eb="23">
      <t>コウゲキ</t>
    </rPh>
    <rPh sb="24" eb="25">
      <t>オコナ</t>
    </rPh>
    <rPh sb="30" eb="31">
      <t>ビョウ</t>
    </rPh>
    <rPh sb="31" eb="32">
      <t>カン</t>
    </rPh>
    <rPh sb="32" eb="34">
      <t>イドウ</t>
    </rPh>
    <phoneticPr fontId="1"/>
  </si>
  <si>
    <t>加速する腕</t>
    <rPh sb="0" eb="2">
      <t>カソク</t>
    </rPh>
    <rPh sb="4" eb="5">
      <t>ウデ</t>
    </rPh>
    <phoneticPr fontId="1"/>
  </si>
  <si>
    <t>二連撃</t>
    <rPh sb="0" eb="1">
      <t>ニ</t>
    </rPh>
    <rPh sb="1" eb="2">
      <t>レン</t>
    </rPh>
    <rPh sb="2" eb="3">
      <t>ゲキ</t>
    </rPh>
    <phoneticPr fontId="1"/>
  </si>
  <si>
    <t>攻撃が2回ヒットする。</t>
    <rPh sb="0" eb="2">
      <t>コウゲキ</t>
    </rPh>
    <rPh sb="4" eb="5">
      <t>カイ</t>
    </rPh>
    <phoneticPr fontId="1"/>
  </si>
  <si>
    <t>会心の一撃</t>
    <rPh sb="0" eb="2">
      <t>カイシン</t>
    </rPh>
    <rPh sb="3" eb="5">
      <t>イチゲキ</t>
    </rPh>
    <phoneticPr fontId="1"/>
  </si>
  <si>
    <t>クリティカル発生時、倍率100%の非接触ダメージを基礎範囲50で発生させる。
この範囲は攻撃範囲の影響を受ける。</t>
    <rPh sb="6" eb="8">
      <t>ハッセイ</t>
    </rPh>
    <rPh sb="8" eb="9">
      <t>ジ</t>
    </rPh>
    <rPh sb="10" eb="12">
      <t>バイリツ</t>
    </rPh>
    <rPh sb="17" eb="18">
      <t>ヒ</t>
    </rPh>
    <rPh sb="18" eb="20">
      <t>セッショク</t>
    </rPh>
    <rPh sb="25" eb="27">
      <t>キソ</t>
    </rPh>
    <rPh sb="27" eb="29">
      <t>ハンイ</t>
    </rPh>
    <rPh sb="32" eb="34">
      <t>ハッセイ</t>
    </rPh>
    <rPh sb="41" eb="43">
      <t>ハンイ</t>
    </rPh>
    <rPh sb="44" eb="48">
      <t>コウゲキハンイ</t>
    </rPh>
    <rPh sb="49" eb="51">
      <t>エイキョウ</t>
    </rPh>
    <rPh sb="52" eb="53">
      <t>ウ</t>
    </rPh>
    <phoneticPr fontId="1"/>
  </si>
  <si>
    <t>ダメージを与えるたび、攻撃速度が+1%増える。
2秒間ダメージを与えなかった場合、リセットされる。</t>
    <rPh sb="5" eb="6">
      <t>アタ</t>
    </rPh>
    <rPh sb="11" eb="15">
      <t>コウゲキソクド</t>
    </rPh>
    <rPh sb="19" eb="20">
      <t>フ</t>
    </rPh>
    <rPh sb="25" eb="26">
      <t>ビョウ</t>
    </rPh>
    <rPh sb="26" eb="27">
      <t>カン</t>
    </rPh>
    <rPh sb="32" eb="33">
      <t>アタ</t>
    </rPh>
    <rPh sb="38" eb="40">
      <t>バアイ</t>
    </rPh>
    <phoneticPr fontId="1"/>
  </si>
  <si>
    <t>攻撃を長押しで溜めることができる。
溜め切ると500%の接触ダメージを与える攻撃ができる。</t>
    <rPh sb="0" eb="2">
      <t>コウゲキ</t>
    </rPh>
    <rPh sb="3" eb="5">
      <t>ナガオ</t>
    </rPh>
    <rPh sb="7" eb="8">
      <t>タ</t>
    </rPh>
    <rPh sb="18" eb="19">
      <t>タ</t>
    </rPh>
    <rPh sb="20" eb="21">
      <t>キ</t>
    </rPh>
    <rPh sb="28" eb="30">
      <t>セッショク</t>
    </rPh>
    <rPh sb="35" eb="36">
      <t>アタ</t>
    </rPh>
    <rPh sb="38" eb="40">
      <t>コウゲキ</t>
    </rPh>
    <phoneticPr fontId="1"/>
  </si>
  <si>
    <t>渾身</t>
    <rPh sb="0" eb="2">
      <t>コンシン</t>
    </rPh>
    <phoneticPr fontId="1"/>
  </si>
  <si>
    <t>Wood</t>
    <phoneticPr fontId="1"/>
  </si>
  <si>
    <t>最終攻撃力ー相手防御力×クリティカルダメージ</t>
    <rPh sb="0" eb="5">
      <t>サイシュウコウゲキリョク</t>
    </rPh>
    <rPh sb="6" eb="8">
      <t>アイテ</t>
    </rPh>
    <rPh sb="8" eb="11">
      <t>ボウギョリョク</t>
    </rPh>
    <phoneticPr fontId="1"/>
  </si>
  <si>
    <t>ドロップキック</t>
    <phoneticPr fontId="1"/>
  </si>
  <si>
    <t>自身の移動速度以下の木を即座に倒し、吹っ飛ばす。
吹っ飛ばした木に当たった他の木には移動速度150%のダメージを与え、
これで倒した木もまた吹っ飛ばす。</t>
    <rPh sb="0" eb="2">
      <t>ジシン</t>
    </rPh>
    <rPh sb="3" eb="7">
      <t>イドウソクド</t>
    </rPh>
    <rPh sb="7" eb="9">
      <t>イカ</t>
    </rPh>
    <rPh sb="10" eb="11">
      <t>キ</t>
    </rPh>
    <rPh sb="12" eb="14">
      <t>ソクザ</t>
    </rPh>
    <rPh sb="15" eb="16">
      <t>タオ</t>
    </rPh>
    <rPh sb="18" eb="19">
      <t>フ</t>
    </rPh>
    <rPh sb="20" eb="21">
      <t>ト</t>
    </rPh>
    <rPh sb="25" eb="26">
      <t>フ</t>
    </rPh>
    <rPh sb="27" eb="28">
      <t>ト</t>
    </rPh>
    <rPh sb="31" eb="32">
      <t>キ</t>
    </rPh>
    <rPh sb="33" eb="34">
      <t>ア</t>
    </rPh>
    <rPh sb="37" eb="38">
      <t>ホカ</t>
    </rPh>
    <rPh sb="39" eb="40">
      <t>キ</t>
    </rPh>
    <rPh sb="42" eb="44">
      <t>イドウ</t>
    </rPh>
    <rPh sb="44" eb="46">
      <t>ソクド</t>
    </rPh>
    <rPh sb="56" eb="57">
      <t>アタ</t>
    </rPh>
    <rPh sb="63" eb="64">
      <t>タオ</t>
    </rPh>
    <rPh sb="66" eb="67">
      <t>キ</t>
    </rPh>
    <rPh sb="70" eb="71">
      <t>フ</t>
    </rPh>
    <rPh sb="72" eb="73">
      <t>ト</t>
    </rPh>
    <phoneticPr fontId="1"/>
  </si>
  <si>
    <t>攻撃範囲をサイズに変更し、ノーマル効果ではあまり変わらないようにする？</t>
    <rPh sb="0" eb="4">
      <t>コウゲキハンイ</t>
    </rPh>
    <rPh sb="9" eb="11">
      <t>ヘンコウ</t>
    </rPh>
    <rPh sb="17" eb="19">
      <t>コウカ</t>
    </rPh>
    <rPh sb="24" eb="25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</si>
</sst>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ＭＳ ゴシック"/>
      <family val="2"/>
      <charset val="128"/>
    </font>
    <font>
      <sz val="7"/>
      <name val="ＭＳ ゴシック"/>
      <family val="2"/>
      <charset val="128"/>
    </font>
    <font>
      <sz val="14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7" xfId="0" applyBorder="1">
      <alignment vertical="center"/>
    </xf>
    <xf numFmtId="0" fontId="0" fillId="0" borderId="17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グラフ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ガチャ確率!$C$1</c:f>
              <c:strCache>
                <c:ptCount val="1"/>
                <c:pt idx="0">
                  <c:v>コモン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ガチャ確率!$C$2:$C$11</c:f>
              <c:numCache>
                <c:formatCode>General</c:formatCode>
                <c:ptCount val="10"/>
                <c:pt idx="0">
                  <c:v>66.25</c:v>
                </c:pt>
                <c:pt idx="1">
                  <c:v>60</c:v>
                </c:pt>
                <c:pt idx="2">
                  <c:v>45</c:v>
                </c:pt>
                <c:pt idx="3">
                  <c:v>20</c:v>
                </c:pt>
                <c:pt idx="4">
                  <c:v>20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A-49FD-8CB4-2BAE13A7C9FD}"/>
            </c:ext>
          </c:extLst>
        </c:ser>
        <c:ser>
          <c:idx val="1"/>
          <c:order val="1"/>
          <c:tx>
            <c:strRef>
              <c:f>ガチャ確率!$D$1</c:f>
              <c:strCache>
                <c:ptCount val="1"/>
                <c:pt idx="0">
                  <c:v>マジック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ガチャ確率!$D$2:$D$11</c:f>
              <c:numCache>
                <c:formatCode>General</c:formatCode>
                <c:ptCount val="10"/>
                <c:pt idx="0">
                  <c:v>26</c:v>
                </c:pt>
                <c:pt idx="1">
                  <c:v>30</c:v>
                </c:pt>
                <c:pt idx="2">
                  <c:v>37</c:v>
                </c:pt>
                <c:pt idx="3">
                  <c:v>55</c:v>
                </c:pt>
                <c:pt idx="4">
                  <c:v>35</c:v>
                </c:pt>
                <c:pt idx="5">
                  <c:v>20</c:v>
                </c:pt>
                <c:pt idx="6">
                  <c:v>18</c:v>
                </c:pt>
                <c:pt idx="7">
                  <c:v>16</c:v>
                </c:pt>
                <c:pt idx="8">
                  <c:v>10</c:v>
                </c:pt>
                <c:pt idx="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4A-49FD-8CB4-2BAE13A7C9FD}"/>
            </c:ext>
          </c:extLst>
        </c:ser>
        <c:ser>
          <c:idx val="2"/>
          <c:order val="2"/>
          <c:tx>
            <c:strRef>
              <c:f>ガチャ確率!$E$1</c:f>
              <c:strCache>
                <c:ptCount val="1"/>
                <c:pt idx="0">
                  <c:v>レア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ガチャ確率!$E$2:$E$11</c:f>
              <c:numCache>
                <c:formatCode>General</c:formatCode>
                <c:ptCount val="10"/>
                <c:pt idx="0">
                  <c:v>7.5</c:v>
                </c:pt>
                <c:pt idx="1">
                  <c:v>8.5</c:v>
                </c:pt>
                <c:pt idx="2">
                  <c:v>15</c:v>
                </c:pt>
                <c:pt idx="3">
                  <c:v>20</c:v>
                </c:pt>
                <c:pt idx="4">
                  <c:v>35</c:v>
                </c:pt>
                <c:pt idx="5">
                  <c:v>55</c:v>
                </c:pt>
                <c:pt idx="6">
                  <c:v>42</c:v>
                </c:pt>
                <c:pt idx="7">
                  <c:v>35</c:v>
                </c:pt>
                <c:pt idx="8">
                  <c:v>30.5</c:v>
                </c:pt>
                <c:pt idx="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4A-49FD-8CB4-2BAE13A7C9FD}"/>
            </c:ext>
          </c:extLst>
        </c:ser>
        <c:ser>
          <c:idx val="3"/>
          <c:order val="3"/>
          <c:tx>
            <c:strRef>
              <c:f>ガチャ確率!$F$1</c:f>
              <c:strCache>
                <c:ptCount val="1"/>
                <c:pt idx="0">
                  <c:v>レジェンド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ガチャ確率!$F$2:$F$11</c:f>
              <c:numCache>
                <c:formatCode>General</c:formatCode>
                <c:ptCount val="10"/>
                <c:pt idx="0">
                  <c:v>0.2</c:v>
                </c:pt>
                <c:pt idx="1">
                  <c:v>1.1000000000000001</c:v>
                </c:pt>
                <c:pt idx="2">
                  <c:v>1.8</c:v>
                </c:pt>
                <c:pt idx="3">
                  <c:v>3.5</c:v>
                </c:pt>
                <c:pt idx="4">
                  <c:v>8</c:v>
                </c:pt>
                <c:pt idx="5">
                  <c:v>18</c:v>
                </c:pt>
                <c:pt idx="6">
                  <c:v>32.200000000000003</c:v>
                </c:pt>
                <c:pt idx="7">
                  <c:v>39.5</c:v>
                </c:pt>
                <c:pt idx="8">
                  <c:v>52.5</c:v>
                </c:pt>
                <c:pt idx="9">
                  <c:v>66.25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4A-49FD-8CB4-2BAE13A7C9FD}"/>
            </c:ext>
          </c:extLst>
        </c:ser>
        <c:ser>
          <c:idx val="4"/>
          <c:order val="4"/>
          <c:tx>
            <c:strRef>
              <c:f>ガチャ確率!$G$1</c:f>
              <c:strCache>
                <c:ptCount val="1"/>
                <c:pt idx="0">
                  <c:v>ミシック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ガチャ確率!$G$2:$G$11</c:f>
              <c:numCache>
                <c:formatCode>General</c:formatCode>
                <c:ptCount val="10"/>
                <c:pt idx="0">
                  <c:v>0.05</c:v>
                </c:pt>
                <c:pt idx="1">
                  <c:v>0.4</c:v>
                </c:pt>
                <c:pt idx="2">
                  <c:v>1.2</c:v>
                </c:pt>
                <c:pt idx="3">
                  <c:v>1.5</c:v>
                </c:pt>
                <c:pt idx="4">
                  <c:v>2</c:v>
                </c:pt>
                <c:pt idx="5">
                  <c:v>4.5</c:v>
                </c:pt>
                <c:pt idx="6">
                  <c:v>6</c:v>
                </c:pt>
                <c:pt idx="7">
                  <c:v>6.9</c:v>
                </c:pt>
                <c:pt idx="8">
                  <c:v>8.1999999999999993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4A-49FD-8CB4-2BAE13A7C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538287"/>
        <c:axId val="1341630479"/>
      </c:lineChart>
      <c:catAx>
        <c:axId val="1418538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1630479"/>
        <c:crosses val="autoZero"/>
        <c:auto val="1"/>
        <c:lblAlgn val="ctr"/>
        <c:lblOffset val="100"/>
        <c:noMultiLvlLbl val="0"/>
      </c:catAx>
      <c:valAx>
        <c:axId val="134163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853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411480</xdr:colOff>
      <xdr:row>1</xdr:row>
      <xdr:rowOff>144780</xdr:rowOff>
    </xdr:from>
    <xdr:to>
      <xdr:col>16</xdr:col>
      <xdr:colOff>251460</xdr:colOff>
      <xdr:row>22</xdr:row>
      <xdr:rowOff>60960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8FFCD79-4022-AB2B-5488-19BAB45FA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871E-55CF-4276-80F8-C63379D68509}">
  <dimension ref="A3:E15"/>
  <sheetViews>
    <sheetView tabSelected="1" topLeftCell="A3" zoomScale="85" zoomScaleNormal="85" workbookViewId="0">
      <selection activeCell="A16" sqref="A16"/>
    </sheetView>
  </sheetViews>
  <sheetFormatPr defaultRowHeight="16.2" x14ac:dyDescent="0.2"/>
  <cols>
    <col min="1" max="1" width="22.1640625" bestFit="1" customWidth="1"/>
    <col min="2" max="2" width="15.58203125" bestFit="1" customWidth="1"/>
    <col min="3" max="3" width="65.33203125" bestFit="1" customWidth="1"/>
    <col min="4" max="4" width="48.08203125" bestFit="1" customWidth="1"/>
    <col min="5" max="5" width="10.58203125" customWidth="1"/>
  </cols>
  <sheetData>
    <row r="3" spans="1:5" ht="16.8" thickBot="1" x14ac:dyDescent="0.25"/>
    <row r="4" spans="1:5" ht="16.8" thickBot="1" x14ac:dyDescent="0.25">
      <c r="A4" s="10" t="s">
        <v>0</v>
      </c>
      <c r="B4" s="11" t="s">
        <v>1</v>
      </c>
      <c r="C4" s="11" t="s">
        <v>2</v>
      </c>
      <c r="D4" s="12" t="s">
        <v>22</v>
      </c>
      <c r="E4" s="12" t="s">
        <v>76</v>
      </c>
    </row>
    <row r="5" spans="1:5" ht="32.4" x14ac:dyDescent="0.2">
      <c r="A5" s="7" t="s">
        <v>12</v>
      </c>
      <c r="B5" s="8" t="s">
        <v>3</v>
      </c>
      <c r="C5" s="13" t="s">
        <v>24</v>
      </c>
      <c r="D5" s="9" t="s">
        <v>30</v>
      </c>
      <c r="E5" s="9">
        <v>10</v>
      </c>
    </row>
    <row r="6" spans="1:5" ht="32.4" x14ac:dyDescent="0.2">
      <c r="A6" s="2" t="s">
        <v>13</v>
      </c>
      <c r="B6" s="1" t="s">
        <v>4</v>
      </c>
      <c r="C6" s="14" t="s">
        <v>25</v>
      </c>
      <c r="D6" s="3" t="s">
        <v>23</v>
      </c>
      <c r="E6" s="3">
        <v>10</v>
      </c>
    </row>
    <row r="7" spans="1:5" ht="32.4" x14ac:dyDescent="0.2">
      <c r="A7" s="2" t="s">
        <v>14</v>
      </c>
      <c r="B7" s="1" t="s">
        <v>5</v>
      </c>
      <c r="C7" s="14" t="s">
        <v>26</v>
      </c>
      <c r="D7" s="3" t="s">
        <v>77</v>
      </c>
      <c r="E7" s="3">
        <v>1</v>
      </c>
    </row>
    <row r="8" spans="1:5" ht="32.4" x14ac:dyDescent="0.2">
      <c r="A8" s="2" t="s">
        <v>15</v>
      </c>
      <c r="B8" s="1" t="s">
        <v>6</v>
      </c>
      <c r="C8" s="14" t="s">
        <v>27</v>
      </c>
      <c r="D8" s="3" t="s">
        <v>28</v>
      </c>
      <c r="E8" s="3">
        <v>0.5</v>
      </c>
    </row>
    <row r="9" spans="1:5" ht="64.8" x14ac:dyDescent="0.2">
      <c r="A9" s="2" t="s">
        <v>16</v>
      </c>
      <c r="B9" s="1" t="s">
        <v>7</v>
      </c>
      <c r="C9" s="14" t="s">
        <v>29</v>
      </c>
      <c r="D9" s="15" t="s">
        <v>67</v>
      </c>
      <c r="E9" s="15">
        <v>5</v>
      </c>
    </row>
    <row r="10" spans="1:5" ht="32.4" x14ac:dyDescent="0.2">
      <c r="A10" s="2" t="s">
        <v>21</v>
      </c>
      <c r="B10" s="1" t="s">
        <v>8</v>
      </c>
      <c r="C10" s="14" t="s">
        <v>31</v>
      </c>
      <c r="D10" s="3" t="s">
        <v>32</v>
      </c>
      <c r="E10" s="3">
        <v>50</v>
      </c>
    </row>
    <row r="11" spans="1:5" x14ac:dyDescent="0.2">
      <c r="A11" s="2" t="s">
        <v>17</v>
      </c>
      <c r="B11" s="1" t="s">
        <v>9</v>
      </c>
      <c r="C11" s="1" t="s">
        <v>33</v>
      </c>
      <c r="D11" s="3" t="s">
        <v>78</v>
      </c>
      <c r="E11" s="3">
        <v>1</v>
      </c>
    </row>
    <row r="12" spans="1:5" ht="32.4" x14ac:dyDescent="0.2">
      <c r="A12" s="2" t="s">
        <v>18</v>
      </c>
      <c r="B12" s="1" t="s">
        <v>10</v>
      </c>
      <c r="C12" s="14" t="s">
        <v>79</v>
      </c>
      <c r="D12" s="3" t="s">
        <v>34</v>
      </c>
      <c r="E12" s="3">
        <v>100</v>
      </c>
    </row>
    <row r="13" spans="1:5" ht="32.4" x14ac:dyDescent="0.2">
      <c r="A13" s="2" t="s">
        <v>19</v>
      </c>
      <c r="B13" s="1" t="s">
        <v>11</v>
      </c>
      <c r="C13" s="14" t="s">
        <v>96</v>
      </c>
      <c r="D13" s="3" t="s">
        <v>35</v>
      </c>
      <c r="E13" s="3">
        <v>10</v>
      </c>
    </row>
    <row r="14" spans="1:5" ht="16.8" thickBot="1" x14ac:dyDescent="0.25">
      <c r="A14" s="4" t="s">
        <v>20</v>
      </c>
      <c r="B14" s="5" t="s">
        <v>144</v>
      </c>
      <c r="C14" s="5" t="s">
        <v>36</v>
      </c>
      <c r="D14" s="6" t="s">
        <v>37</v>
      </c>
      <c r="E14" s="6">
        <v>0</v>
      </c>
    </row>
    <row r="15" spans="1:5" x14ac:dyDescent="0.2">
      <c r="A15" s="38" t="s">
        <v>148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34AD-8F74-4770-A4D4-748545CC6E43}">
  <dimension ref="A3:K10"/>
  <sheetViews>
    <sheetView workbookViewId="0">
      <selection activeCell="K8" sqref="K8"/>
    </sheetView>
  </sheetViews>
  <sheetFormatPr defaultRowHeight="16.2" x14ac:dyDescent="0.2"/>
  <cols>
    <col min="1" max="1" width="15.58203125" bestFit="1" customWidth="1"/>
  </cols>
  <sheetData>
    <row r="3" spans="1:11" x14ac:dyDescent="0.2">
      <c r="A3" s="25" t="s">
        <v>98</v>
      </c>
      <c r="B3" s="26">
        <v>1</v>
      </c>
      <c r="C3" s="26">
        <v>2</v>
      </c>
      <c r="D3" s="26">
        <v>3</v>
      </c>
      <c r="E3" s="26">
        <v>4</v>
      </c>
      <c r="F3" s="26">
        <v>5</v>
      </c>
      <c r="G3" s="26">
        <v>6</v>
      </c>
      <c r="H3" s="26">
        <v>7</v>
      </c>
      <c r="I3" s="26">
        <v>8</v>
      </c>
      <c r="J3" s="26">
        <v>9</v>
      </c>
      <c r="K3" s="26">
        <v>10</v>
      </c>
    </row>
    <row r="4" spans="1:11" x14ac:dyDescent="0.2">
      <c r="A4" s="27" t="s">
        <v>101</v>
      </c>
    </row>
    <row r="5" spans="1:11" x14ac:dyDescent="0.2">
      <c r="A5" s="25" t="s">
        <v>99</v>
      </c>
      <c r="B5" s="1">
        <v>40</v>
      </c>
      <c r="C5" s="1">
        <v>200</v>
      </c>
      <c r="D5" s="1">
        <v>600</v>
      </c>
      <c r="E5" s="1">
        <v>1600</v>
      </c>
      <c r="F5" s="1">
        <v>3500</v>
      </c>
      <c r="G5" s="1">
        <v>12000</v>
      </c>
      <c r="H5" s="1">
        <v>44000</v>
      </c>
      <c r="I5" s="1">
        <v>100000</v>
      </c>
      <c r="J5" s="1">
        <v>230000</v>
      </c>
      <c r="K5" s="1">
        <v>460000</v>
      </c>
    </row>
    <row r="6" spans="1:11" x14ac:dyDescent="0.2">
      <c r="A6" s="25" t="s">
        <v>100</v>
      </c>
      <c r="B6" s="1">
        <v>2</v>
      </c>
      <c r="C6" s="1">
        <v>50</v>
      </c>
      <c r="D6" s="1">
        <v>160</v>
      </c>
      <c r="E6" s="1">
        <v>230</v>
      </c>
      <c r="F6" s="1">
        <v>650</v>
      </c>
      <c r="G6" s="1">
        <v>1300</v>
      </c>
      <c r="H6" s="1">
        <v>3000</v>
      </c>
      <c r="I6" s="1">
        <v>5000</v>
      </c>
      <c r="J6" s="1">
        <v>7000</v>
      </c>
      <c r="K6" s="1">
        <v>10000</v>
      </c>
    </row>
    <row r="7" spans="1:11" x14ac:dyDescent="0.2">
      <c r="A7" s="28" t="s">
        <v>102</v>
      </c>
    </row>
    <row r="8" spans="1:11" x14ac:dyDescent="0.2">
      <c r="A8" s="25" t="s">
        <v>103</v>
      </c>
      <c r="B8" s="1">
        <v>10</v>
      </c>
      <c r="C8" s="1">
        <v>30</v>
      </c>
      <c r="D8" s="1">
        <v>60</v>
      </c>
      <c r="E8" s="1">
        <v>100</v>
      </c>
      <c r="F8" s="1">
        <v>150</v>
      </c>
      <c r="G8" s="1">
        <v>210</v>
      </c>
      <c r="H8" s="1">
        <v>280</v>
      </c>
      <c r="I8" s="1">
        <v>360</v>
      </c>
      <c r="J8" s="1">
        <v>450</v>
      </c>
      <c r="K8" s="1">
        <v>550</v>
      </c>
    </row>
    <row r="9" spans="1:11" x14ac:dyDescent="0.2">
      <c r="A9" s="25" t="s">
        <v>104</v>
      </c>
      <c r="B9" s="1">
        <f>B8-B6</f>
        <v>8</v>
      </c>
      <c r="C9" s="1">
        <f t="shared" ref="C9:K9" si="0">C8-C6</f>
        <v>-20</v>
      </c>
      <c r="D9" s="1">
        <f t="shared" si="0"/>
        <v>-100</v>
      </c>
      <c r="E9" s="1">
        <f t="shared" si="0"/>
        <v>-130</v>
      </c>
      <c r="F9" s="1">
        <f t="shared" si="0"/>
        <v>-500</v>
      </c>
      <c r="G9" s="1">
        <f t="shared" si="0"/>
        <v>-1090</v>
      </c>
      <c r="H9" s="1">
        <f t="shared" si="0"/>
        <v>-2720</v>
      </c>
      <c r="I9" s="1">
        <f t="shared" si="0"/>
        <v>-4640</v>
      </c>
      <c r="J9" s="1">
        <f t="shared" si="0"/>
        <v>-6550</v>
      </c>
      <c r="K9" s="1">
        <f t="shared" si="0"/>
        <v>-9450</v>
      </c>
    </row>
    <row r="10" spans="1:11" x14ac:dyDescent="0.2">
      <c r="A10" s="25" t="s">
        <v>105</v>
      </c>
      <c r="B10" s="1">
        <f>B5/B9</f>
        <v>5</v>
      </c>
      <c r="C10" s="1">
        <f t="shared" ref="C10:K10" si="1">C5/C9</f>
        <v>-10</v>
      </c>
      <c r="D10" s="1">
        <f t="shared" si="1"/>
        <v>-6</v>
      </c>
      <c r="E10" s="1">
        <f t="shared" si="1"/>
        <v>-12.307692307692308</v>
      </c>
      <c r="F10" s="1">
        <f t="shared" si="1"/>
        <v>-7</v>
      </c>
      <c r="G10" s="1">
        <f t="shared" si="1"/>
        <v>-11.009174311926605</v>
      </c>
      <c r="H10" s="1">
        <f t="shared" si="1"/>
        <v>-16.176470588235293</v>
      </c>
      <c r="I10" s="1">
        <f t="shared" si="1"/>
        <v>-21.551724137931036</v>
      </c>
      <c r="J10" s="1">
        <f t="shared" si="1"/>
        <v>-35.114503816793892</v>
      </c>
      <c r="K10" s="1">
        <f t="shared" si="1"/>
        <v>-48.677248677248677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A126-8A4C-4559-8795-96E0CA4976AF}">
  <dimension ref="A2:C5"/>
  <sheetViews>
    <sheetView workbookViewId="0">
      <selection activeCell="C4" sqref="C4"/>
    </sheetView>
  </sheetViews>
  <sheetFormatPr defaultRowHeight="16.2" x14ac:dyDescent="0.2"/>
  <cols>
    <col min="1" max="1" width="15.58203125" bestFit="1" customWidth="1"/>
    <col min="2" max="2" width="57.4140625" bestFit="1" customWidth="1"/>
    <col min="3" max="3" width="47.75" bestFit="1" customWidth="1"/>
  </cols>
  <sheetData>
    <row r="2" spans="1:3" ht="16.8" thickBot="1" x14ac:dyDescent="0.25"/>
    <row r="3" spans="1:3" ht="16.8" thickBot="1" x14ac:dyDescent="0.25">
      <c r="A3" s="18" t="s">
        <v>38</v>
      </c>
      <c r="B3" s="19" t="s">
        <v>2</v>
      </c>
      <c r="C3" s="20" t="s">
        <v>22</v>
      </c>
    </row>
    <row r="4" spans="1:3" ht="48.6" x14ac:dyDescent="0.2">
      <c r="A4" s="7" t="s">
        <v>39</v>
      </c>
      <c r="B4" s="13" t="s">
        <v>41</v>
      </c>
      <c r="C4" s="9" t="s">
        <v>145</v>
      </c>
    </row>
    <row r="5" spans="1:3" ht="65.400000000000006" thickBot="1" x14ac:dyDescent="0.25">
      <c r="A5" s="4" t="s">
        <v>40</v>
      </c>
      <c r="B5" s="17" t="s">
        <v>42</v>
      </c>
      <c r="C5" s="6" t="s">
        <v>43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98CF-9F5C-4660-A9C0-12B8FE75CB7C}">
  <dimension ref="A2:D8"/>
  <sheetViews>
    <sheetView workbookViewId="0">
      <selection activeCell="C5" sqref="C5"/>
    </sheetView>
  </sheetViews>
  <sheetFormatPr defaultRowHeight="16.2" x14ac:dyDescent="0.2"/>
  <cols>
    <col min="1" max="1" width="15.58203125" bestFit="1" customWidth="1"/>
    <col min="2" max="2" width="79.9140625" bestFit="1" customWidth="1"/>
    <col min="3" max="3" width="30.58203125" bestFit="1" customWidth="1"/>
    <col min="4" max="4" width="52.08203125" bestFit="1" customWidth="1"/>
  </cols>
  <sheetData>
    <row r="2" spans="1:4" ht="16.8" thickBot="1" x14ac:dyDescent="0.25"/>
    <row r="3" spans="1:4" ht="16.8" thickBot="1" x14ac:dyDescent="0.25">
      <c r="A3" s="18" t="s">
        <v>44</v>
      </c>
      <c r="B3" s="19" t="s">
        <v>2</v>
      </c>
      <c r="C3" s="19" t="s">
        <v>45</v>
      </c>
      <c r="D3" s="20" t="s">
        <v>48</v>
      </c>
    </row>
    <row r="4" spans="1:4" ht="32.4" x14ac:dyDescent="0.2">
      <c r="A4" s="7" t="s">
        <v>46</v>
      </c>
      <c r="B4" s="13" t="s">
        <v>50</v>
      </c>
      <c r="C4" s="8" t="s">
        <v>47</v>
      </c>
      <c r="D4" s="9" t="s">
        <v>49</v>
      </c>
    </row>
    <row r="5" spans="1:4" ht="32.4" x14ac:dyDescent="0.2">
      <c r="A5" s="1" t="s">
        <v>51</v>
      </c>
      <c r="B5" s="14" t="s">
        <v>52</v>
      </c>
      <c r="C5" s="14" t="s">
        <v>130</v>
      </c>
      <c r="D5" s="1" t="s">
        <v>53</v>
      </c>
    </row>
    <row r="6" spans="1:4" ht="32.4" x14ac:dyDescent="0.2">
      <c r="A6" s="1" t="s">
        <v>126</v>
      </c>
      <c r="B6" s="14" t="s">
        <v>56</v>
      </c>
      <c r="C6" s="1" t="s">
        <v>54</v>
      </c>
      <c r="D6" s="1" t="s">
        <v>57</v>
      </c>
    </row>
    <row r="7" spans="1:4" ht="48.6" x14ac:dyDescent="0.2">
      <c r="A7" s="1" t="s">
        <v>112</v>
      </c>
      <c r="B7" s="14" t="s">
        <v>113</v>
      </c>
      <c r="C7" s="14" t="s">
        <v>120</v>
      </c>
      <c r="D7" s="1" t="s">
        <v>129</v>
      </c>
    </row>
    <row r="8" spans="1:4" ht="32.4" x14ac:dyDescent="0.2">
      <c r="A8" s="1" t="s">
        <v>55</v>
      </c>
      <c r="B8" s="14" t="s">
        <v>127</v>
      </c>
      <c r="C8" s="14" t="s">
        <v>128</v>
      </c>
      <c r="D8" s="1" t="s">
        <v>57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F79E-6BDB-4478-9D12-A18909A4EB37}">
  <dimension ref="A1:M24"/>
  <sheetViews>
    <sheetView workbookViewId="0">
      <selection activeCell="L7" sqref="L7"/>
    </sheetView>
  </sheetViews>
  <sheetFormatPr defaultRowHeight="16.2" x14ac:dyDescent="0.2"/>
  <cols>
    <col min="1" max="1" width="28.4140625" bestFit="1" customWidth="1"/>
    <col min="2" max="2" width="9.1640625" bestFit="1" customWidth="1"/>
    <col min="13" max="13" width="15.58203125" bestFit="1" customWidth="1"/>
  </cols>
  <sheetData>
    <row r="1" spans="1:13" x14ac:dyDescent="0.2">
      <c r="A1" s="34" t="s">
        <v>97</v>
      </c>
      <c r="B1" s="35"/>
      <c r="C1" s="35"/>
      <c r="D1" s="35"/>
      <c r="E1" s="35"/>
      <c r="F1" s="35"/>
      <c r="G1" s="35"/>
      <c r="H1" s="35"/>
      <c r="I1" s="35"/>
    </row>
    <row r="3" spans="1:13" x14ac:dyDescent="0.2">
      <c r="A3" s="32" t="s">
        <v>80</v>
      </c>
      <c r="B3" s="36"/>
      <c r="C3" s="36"/>
      <c r="D3" s="36"/>
      <c r="E3" s="36"/>
      <c r="F3" s="36"/>
      <c r="G3" s="36"/>
      <c r="H3" s="36"/>
      <c r="I3" s="36"/>
      <c r="J3" s="36"/>
      <c r="K3" s="33"/>
      <c r="L3" s="21"/>
      <c r="M3" s="1"/>
    </row>
    <row r="4" spans="1:13" x14ac:dyDescent="0.2">
      <c r="A4" s="21" t="s">
        <v>81</v>
      </c>
      <c r="B4" s="21">
        <v>1</v>
      </c>
      <c r="C4" s="21">
        <v>2</v>
      </c>
      <c r="D4" s="21">
        <v>3</v>
      </c>
      <c r="E4" s="21">
        <v>4</v>
      </c>
      <c r="F4" s="21">
        <v>5</v>
      </c>
      <c r="G4" s="21">
        <v>6</v>
      </c>
      <c r="H4" s="21">
        <v>7</v>
      </c>
      <c r="I4" s="21">
        <v>8</v>
      </c>
      <c r="J4" s="21">
        <v>9</v>
      </c>
      <c r="K4" s="21">
        <v>10</v>
      </c>
      <c r="L4" s="21" t="s">
        <v>88</v>
      </c>
      <c r="M4" s="1" t="s">
        <v>95</v>
      </c>
    </row>
    <row r="5" spans="1:13" x14ac:dyDescent="0.2">
      <c r="A5" s="1" t="s">
        <v>68</v>
      </c>
      <c r="B5" s="1">
        <v>2</v>
      </c>
      <c r="C5" s="1">
        <v>13</v>
      </c>
      <c r="D5" s="1">
        <v>32</v>
      </c>
      <c r="E5" s="1">
        <v>60</v>
      </c>
      <c r="F5" s="1">
        <v>104</v>
      </c>
      <c r="G5" s="1">
        <v>167</v>
      </c>
      <c r="H5" s="1">
        <v>245</v>
      </c>
      <c r="I5" s="1">
        <v>404</v>
      </c>
      <c r="J5" s="1">
        <v>706</v>
      </c>
      <c r="K5" s="1">
        <v>1000</v>
      </c>
      <c r="L5" s="1">
        <f>(K5+(B16*10))*$F$20</f>
        <v>1672</v>
      </c>
      <c r="M5" s="1">
        <f>B5+(B16*1)*$F$16</f>
        <v>12</v>
      </c>
    </row>
    <row r="6" spans="1:13" x14ac:dyDescent="0.2">
      <c r="A6" s="1" t="s">
        <v>69</v>
      </c>
      <c r="B6" s="1">
        <v>2</v>
      </c>
      <c r="C6" s="1">
        <v>8</v>
      </c>
      <c r="D6" s="1">
        <v>14</v>
      </c>
      <c r="E6" s="1">
        <v>25</v>
      </c>
      <c r="F6" s="1">
        <v>50</v>
      </c>
      <c r="G6" s="1">
        <v>80</v>
      </c>
      <c r="H6" s="1">
        <v>140</v>
      </c>
      <c r="I6" s="1">
        <v>210</v>
      </c>
      <c r="J6" s="1">
        <v>329</v>
      </c>
      <c r="K6" s="1">
        <v>450</v>
      </c>
      <c r="L6" s="1">
        <f>(K6+(B17*10))*$F$20</f>
        <v>805.6</v>
      </c>
      <c r="M6" s="1">
        <f t="shared" ref="M6:M13" si="0">B6+(B17*1)*$F$16</f>
        <v>10</v>
      </c>
    </row>
    <row r="7" spans="1:13" x14ac:dyDescent="0.2">
      <c r="A7" s="1" t="s">
        <v>70</v>
      </c>
      <c r="B7" s="1">
        <v>10</v>
      </c>
      <c r="C7" s="1">
        <v>23</v>
      </c>
      <c r="D7" s="1">
        <v>35</v>
      </c>
      <c r="E7" s="1">
        <v>57</v>
      </c>
      <c r="F7" s="1">
        <v>94</v>
      </c>
      <c r="G7" s="1">
        <v>165</v>
      </c>
      <c r="H7" s="1">
        <v>289</v>
      </c>
      <c r="I7" s="1">
        <v>420</v>
      </c>
      <c r="J7" s="1">
        <v>578</v>
      </c>
      <c r="K7" s="1">
        <v>700</v>
      </c>
      <c r="L7" s="1">
        <f t="shared" ref="L7:L13" si="1">(K7+(B18*10))*$F$20</f>
        <v>1185.5999999999999</v>
      </c>
      <c r="M7" s="1">
        <f t="shared" si="0"/>
        <v>18</v>
      </c>
    </row>
    <row r="8" spans="1:13" x14ac:dyDescent="0.2">
      <c r="A8" s="1" t="s">
        <v>71</v>
      </c>
      <c r="B8" s="1">
        <v>2</v>
      </c>
      <c r="C8" s="1">
        <v>3</v>
      </c>
      <c r="D8" s="1">
        <v>5</v>
      </c>
      <c r="E8" s="1">
        <v>6</v>
      </c>
      <c r="F8" s="1">
        <v>8</v>
      </c>
      <c r="G8" s="1">
        <v>12</v>
      </c>
      <c r="H8" s="1">
        <v>16</v>
      </c>
      <c r="I8" s="1">
        <v>22</v>
      </c>
      <c r="J8" s="1">
        <v>30</v>
      </c>
      <c r="K8" s="1">
        <v>40</v>
      </c>
      <c r="L8" s="1">
        <f t="shared" si="1"/>
        <v>60.8</v>
      </c>
      <c r="M8" s="1">
        <f t="shared" si="0"/>
        <v>2</v>
      </c>
    </row>
    <row r="9" spans="1:13" x14ac:dyDescent="0.2">
      <c r="A9" s="1" t="s">
        <v>72</v>
      </c>
      <c r="B9" s="1">
        <v>1</v>
      </c>
      <c r="C9" s="1">
        <v>2.2999999999999998</v>
      </c>
      <c r="D9" s="1">
        <v>4.5999999999999996</v>
      </c>
      <c r="E9" s="1">
        <v>8</v>
      </c>
      <c r="F9" s="1">
        <v>12.2</v>
      </c>
      <c r="G9" s="1">
        <v>14.9</v>
      </c>
      <c r="H9" s="1">
        <v>18.100000000000001</v>
      </c>
      <c r="I9" s="1">
        <v>23</v>
      </c>
      <c r="J9" s="1">
        <v>28.4</v>
      </c>
      <c r="K9" s="1">
        <v>35</v>
      </c>
      <c r="L9" s="1">
        <f t="shared" si="1"/>
        <v>68.400000000000006</v>
      </c>
      <c r="M9" s="1">
        <f t="shared" si="0"/>
        <v>2</v>
      </c>
    </row>
    <row r="10" spans="1:13" x14ac:dyDescent="0.2">
      <c r="A10" s="1" t="s">
        <v>73</v>
      </c>
      <c r="B10" s="1">
        <v>10</v>
      </c>
      <c r="C10" s="1">
        <v>23</v>
      </c>
      <c r="D10" s="1">
        <v>35</v>
      </c>
      <c r="E10" s="1">
        <v>57</v>
      </c>
      <c r="F10" s="1">
        <v>94</v>
      </c>
      <c r="G10" s="1">
        <v>165</v>
      </c>
      <c r="H10" s="1">
        <v>289</v>
      </c>
      <c r="I10" s="1">
        <v>420</v>
      </c>
      <c r="J10" s="1">
        <v>578</v>
      </c>
      <c r="K10" s="1">
        <v>700</v>
      </c>
      <c r="L10" s="1">
        <f t="shared" si="1"/>
        <v>1216</v>
      </c>
      <c r="M10" s="1">
        <f t="shared" si="0"/>
        <v>20</v>
      </c>
    </row>
    <row r="11" spans="1:13" x14ac:dyDescent="0.2">
      <c r="A11" s="1" t="s">
        <v>74</v>
      </c>
      <c r="B11" s="1">
        <v>2</v>
      </c>
      <c r="C11" s="1">
        <v>8</v>
      </c>
      <c r="D11" s="1">
        <v>14</v>
      </c>
      <c r="E11" s="1">
        <v>25</v>
      </c>
      <c r="F11" s="1">
        <v>50</v>
      </c>
      <c r="G11" s="1">
        <v>80</v>
      </c>
      <c r="H11" s="1">
        <v>140</v>
      </c>
      <c r="I11" s="1">
        <v>210</v>
      </c>
      <c r="J11" s="1">
        <v>329</v>
      </c>
      <c r="K11" s="1">
        <v>450</v>
      </c>
      <c r="L11" s="1">
        <f t="shared" si="1"/>
        <v>760</v>
      </c>
      <c r="M11" s="1">
        <f t="shared" si="0"/>
        <v>7</v>
      </c>
    </row>
    <row r="12" spans="1:13" x14ac:dyDescent="0.2">
      <c r="A12" s="1" t="s">
        <v>75</v>
      </c>
      <c r="B12" s="1">
        <v>10</v>
      </c>
      <c r="C12" s="1">
        <v>23</v>
      </c>
      <c r="D12" s="1">
        <v>35</v>
      </c>
      <c r="E12" s="1">
        <v>57</v>
      </c>
      <c r="F12" s="1">
        <v>94</v>
      </c>
      <c r="G12" s="1">
        <v>165</v>
      </c>
      <c r="H12" s="1">
        <v>289</v>
      </c>
      <c r="I12" s="1">
        <v>420</v>
      </c>
      <c r="J12" s="1">
        <v>578</v>
      </c>
      <c r="K12" s="1">
        <v>700</v>
      </c>
      <c r="L12" s="1">
        <f t="shared" si="1"/>
        <v>1109.5999999999999</v>
      </c>
      <c r="M12" s="1">
        <f t="shared" si="0"/>
        <v>13</v>
      </c>
    </row>
    <row r="13" spans="1:13" x14ac:dyDescent="0.2">
      <c r="A13" s="1" t="s">
        <v>19</v>
      </c>
      <c r="B13" s="1">
        <v>10</v>
      </c>
      <c r="C13" s="1">
        <v>23</v>
      </c>
      <c r="D13" s="1">
        <v>35</v>
      </c>
      <c r="E13" s="1">
        <v>57</v>
      </c>
      <c r="F13" s="1">
        <v>94</v>
      </c>
      <c r="G13" s="1">
        <v>165</v>
      </c>
      <c r="H13" s="1">
        <v>289</v>
      </c>
      <c r="I13" s="1">
        <v>420</v>
      </c>
      <c r="J13" s="1">
        <v>578</v>
      </c>
      <c r="K13" s="1">
        <v>700</v>
      </c>
      <c r="L13" s="1">
        <f t="shared" si="1"/>
        <v>1109.5999999999999</v>
      </c>
      <c r="M13" s="1">
        <f t="shared" si="0"/>
        <v>13</v>
      </c>
    </row>
    <row r="15" spans="1:13" x14ac:dyDescent="0.2">
      <c r="A15" s="32" t="s">
        <v>66</v>
      </c>
      <c r="B15" s="33"/>
      <c r="D15" s="37" t="s">
        <v>90</v>
      </c>
      <c r="E15" s="37"/>
      <c r="F15" s="21" t="s">
        <v>91</v>
      </c>
      <c r="G15" s="21" t="s">
        <v>92</v>
      </c>
    </row>
    <row r="16" spans="1:13" x14ac:dyDescent="0.2">
      <c r="A16" s="1" t="s">
        <v>68</v>
      </c>
      <c r="B16" s="1">
        <v>10</v>
      </c>
      <c r="D16" s="32" t="s">
        <v>82</v>
      </c>
      <c r="E16" s="33"/>
      <c r="F16" s="1">
        <v>1</v>
      </c>
      <c r="G16" s="1">
        <v>3</v>
      </c>
    </row>
    <row r="17" spans="1:7" x14ac:dyDescent="0.2">
      <c r="A17" s="1" t="s">
        <v>69</v>
      </c>
      <c r="B17" s="1">
        <v>8</v>
      </c>
      <c r="D17" s="32" t="s">
        <v>83</v>
      </c>
      <c r="E17" s="33"/>
      <c r="F17" s="1">
        <v>1.1000000000000001</v>
      </c>
      <c r="G17" s="1">
        <v>4</v>
      </c>
    </row>
    <row r="18" spans="1:7" x14ac:dyDescent="0.2">
      <c r="A18" s="1" t="s">
        <v>70</v>
      </c>
      <c r="B18" s="1">
        <v>8</v>
      </c>
      <c r="D18" s="32" t="s">
        <v>84</v>
      </c>
      <c r="E18" s="33"/>
      <c r="F18" s="1">
        <v>1.2</v>
      </c>
      <c r="G18" s="1">
        <v>5</v>
      </c>
    </row>
    <row r="19" spans="1:7" x14ac:dyDescent="0.2">
      <c r="A19" s="1" t="s">
        <v>71</v>
      </c>
      <c r="B19" s="1">
        <v>0</v>
      </c>
      <c r="D19" s="32" t="s">
        <v>85</v>
      </c>
      <c r="E19" s="33"/>
      <c r="F19" s="1">
        <v>1.34</v>
      </c>
      <c r="G19" s="1">
        <v>6</v>
      </c>
    </row>
    <row r="20" spans="1:7" x14ac:dyDescent="0.2">
      <c r="A20" s="1" t="s">
        <v>72</v>
      </c>
      <c r="B20" s="1">
        <v>1</v>
      </c>
      <c r="D20" s="32" t="s">
        <v>86</v>
      </c>
      <c r="E20" s="33"/>
      <c r="F20" s="1">
        <v>1.52</v>
      </c>
      <c r="G20" s="22" t="s">
        <v>89</v>
      </c>
    </row>
    <row r="21" spans="1:7" x14ac:dyDescent="0.2">
      <c r="A21" s="1" t="s">
        <v>73</v>
      </c>
      <c r="B21" s="1">
        <v>10</v>
      </c>
    </row>
    <row r="22" spans="1:7" x14ac:dyDescent="0.2">
      <c r="A22" s="1" t="s">
        <v>74</v>
      </c>
      <c r="B22" s="1">
        <v>5</v>
      </c>
    </row>
    <row r="23" spans="1:7" x14ac:dyDescent="0.2">
      <c r="A23" s="1" t="s">
        <v>75</v>
      </c>
      <c r="B23" s="1">
        <v>3</v>
      </c>
    </row>
    <row r="24" spans="1:7" x14ac:dyDescent="0.2">
      <c r="A24" s="1" t="s">
        <v>19</v>
      </c>
      <c r="B24" s="1">
        <v>3</v>
      </c>
    </row>
  </sheetData>
  <mergeCells count="9">
    <mergeCell ref="D19:E19"/>
    <mergeCell ref="D20:E20"/>
    <mergeCell ref="A1:I1"/>
    <mergeCell ref="A15:B15"/>
    <mergeCell ref="A3:K3"/>
    <mergeCell ref="D15:E15"/>
    <mergeCell ref="D16:E16"/>
    <mergeCell ref="D17:E17"/>
    <mergeCell ref="D18:E18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E293-C43E-4023-BF9D-9919D5512254}">
  <dimension ref="A1:C19"/>
  <sheetViews>
    <sheetView zoomScaleNormal="100" workbookViewId="0">
      <selection activeCell="B5" sqref="B5"/>
    </sheetView>
  </sheetViews>
  <sheetFormatPr defaultRowHeight="16.2" x14ac:dyDescent="0.2"/>
  <cols>
    <col min="1" max="1" width="19.83203125" bestFit="1" customWidth="1"/>
    <col min="2" max="2" width="70.75" customWidth="1"/>
    <col min="3" max="3" width="56.33203125" bestFit="1" customWidth="1"/>
  </cols>
  <sheetData>
    <row r="1" spans="1:3" x14ac:dyDescent="0.2">
      <c r="A1" s="31" t="s">
        <v>111</v>
      </c>
      <c r="B1" s="31"/>
      <c r="C1" s="31"/>
    </row>
    <row r="3" spans="1:3" x14ac:dyDescent="0.2">
      <c r="A3" s="16" t="s">
        <v>58</v>
      </c>
      <c r="B3" s="16" t="s">
        <v>59</v>
      </c>
      <c r="C3" s="16" t="s">
        <v>60</v>
      </c>
    </row>
    <row r="4" spans="1:3" ht="32.4" x14ac:dyDescent="0.2">
      <c r="A4" s="1" t="s">
        <v>47</v>
      </c>
      <c r="B4" s="14" t="s">
        <v>62</v>
      </c>
      <c r="C4" s="1" t="s">
        <v>63</v>
      </c>
    </row>
    <row r="5" spans="1:3" ht="32.4" x14ac:dyDescent="0.2">
      <c r="A5" s="1" t="s">
        <v>61</v>
      </c>
      <c r="B5" s="14" t="s">
        <v>64</v>
      </c>
      <c r="C5" s="1" t="s">
        <v>37</v>
      </c>
    </row>
    <row r="6" spans="1:3" ht="48.6" x14ac:dyDescent="0.2">
      <c r="A6" s="1" t="s">
        <v>54</v>
      </c>
      <c r="B6" s="14" t="s">
        <v>65</v>
      </c>
      <c r="C6" s="1" t="s">
        <v>87</v>
      </c>
    </row>
    <row r="7" spans="1:3" x14ac:dyDescent="0.2">
      <c r="A7" s="1" t="s">
        <v>106</v>
      </c>
      <c r="B7" s="14" t="s">
        <v>107</v>
      </c>
      <c r="C7" s="1" t="s">
        <v>108</v>
      </c>
    </row>
    <row r="8" spans="1:3" x14ac:dyDescent="0.2">
      <c r="A8" s="1" t="s">
        <v>109</v>
      </c>
      <c r="B8" s="14" t="s">
        <v>110</v>
      </c>
      <c r="C8" s="1" t="s">
        <v>115</v>
      </c>
    </row>
    <row r="9" spans="1:3" x14ac:dyDescent="0.2">
      <c r="A9" s="1" t="s">
        <v>114</v>
      </c>
      <c r="B9" s="14" t="s">
        <v>121</v>
      </c>
      <c r="C9" s="1" t="s">
        <v>116</v>
      </c>
    </row>
    <row r="10" spans="1:3" x14ac:dyDescent="0.2">
      <c r="A10" s="1" t="s">
        <v>119</v>
      </c>
      <c r="B10" s="1" t="s">
        <v>117</v>
      </c>
      <c r="C10" s="1" t="s">
        <v>118</v>
      </c>
    </row>
    <row r="11" spans="1:3" x14ac:dyDescent="0.2">
      <c r="A11" s="1" t="s">
        <v>123</v>
      </c>
      <c r="B11" s="14" t="s">
        <v>122</v>
      </c>
      <c r="C11" s="1"/>
    </row>
    <row r="12" spans="1:3" ht="32.4" x14ac:dyDescent="0.2">
      <c r="A12" s="1" t="s">
        <v>125</v>
      </c>
      <c r="B12" s="14" t="s">
        <v>124</v>
      </c>
      <c r="C12" s="1"/>
    </row>
    <row r="13" spans="1:3" ht="32.4" x14ac:dyDescent="0.2">
      <c r="A13" s="29" t="s">
        <v>133</v>
      </c>
      <c r="B13" s="30" t="s">
        <v>132</v>
      </c>
      <c r="C13" s="29" t="s">
        <v>131</v>
      </c>
    </row>
    <row r="14" spans="1:3" ht="32.4" x14ac:dyDescent="0.2">
      <c r="A14" s="1" t="s">
        <v>134</v>
      </c>
      <c r="B14" s="14" t="s">
        <v>135</v>
      </c>
      <c r="C14" s="1"/>
    </row>
    <row r="15" spans="1:3" ht="32.4" x14ac:dyDescent="0.2">
      <c r="A15" s="1" t="s">
        <v>136</v>
      </c>
      <c r="B15" s="14" t="s">
        <v>141</v>
      </c>
      <c r="C15" s="1"/>
    </row>
    <row r="16" spans="1:3" x14ac:dyDescent="0.2">
      <c r="A16" s="1" t="s">
        <v>137</v>
      </c>
      <c r="B16" s="14" t="s">
        <v>138</v>
      </c>
      <c r="C16" s="1"/>
    </row>
    <row r="17" spans="1:3" ht="32.4" x14ac:dyDescent="0.2">
      <c r="A17" s="1" t="s">
        <v>139</v>
      </c>
      <c r="B17" s="14" t="s">
        <v>140</v>
      </c>
      <c r="C17" s="1"/>
    </row>
    <row r="18" spans="1:3" ht="32.4" x14ac:dyDescent="0.2">
      <c r="A18" s="1" t="s">
        <v>143</v>
      </c>
      <c r="B18" s="14" t="s">
        <v>142</v>
      </c>
      <c r="C18" s="1"/>
    </row>
    <row r="19" spans="1:3" ht="48.6" x14ac:dyDescent="0.2">
      <c r="A19" s="29" t="s">
        <v>146</v>
      </c>
      <c r="B19" s="30" t="s">
        <v>147</v>
      </c>
    </row>
  </sheetData>
  <mergeCells count="1">
    <mergeCell ref="A1:C1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1629-31B0-491D-8385-FA31A2D75117}">
  <dimension ref="A1:H11"/>
  <sheetViews>
    <sheetView workbookViewId="0">
      <selection activeCell="A2" sqref="A2"/>
    </sheetView>
  </sheetViews>
  <sheetFormatPr defaultRowHeight="16.2" x14ac:dyDescent="0.2"/>
  <cols>
    <col min="1" max="1" width="15.58203125" bestFit="1" customWidth="1"/>
    <col min="2" max="2" width="13.4140625" bestFit="1" customWidth="1"/>
    <col min="3" max="3" width="7.1640625" bestFit="1" customWidth="1"/>
    <col min="4" max="4" width="9.1640625" bestFit="1" customWidth="1"/>
    <col min="5" max="5" width="5.1640625" bestFit="1" customWidth="1"/>
    <col min="6" max="6" width="11.25" bestFit="1" customWidth="1"/>
    <col min="7" max="7" width="9.1640625" bestFit="1" customWidth="1"/>
  </cols>
  <sheetData>
    <row r="1" spans="1:8" x14ac:dyDescent="0.2">
      <c r="A1" s="16" t="s">
        <v>98</v>
      </c>
      <c r="B1" s="16" t="s">
        <v>93</v>
      </c>
      <c r="C1" s="16" t="s">
        <v>82</v>
      </c>
      <c r="D1" s="16" t="s">
        <v>83</v>
      </c>
      <c r="E1" s="16" t="s">
        <v>84</v>
      </c>
      <c r="F1" s="16" t="s">
        <v>85</v>
      </c>
      <c r="G1" s="16" t="s">
        <v>86</v>
      </c>
      <c r="H1" s="16" t="s">
        <v>94</v>
      </c>
    </row>
    <row r="2" spans="1:8" x14ac:dyDescent="0.2">
      <c r="A2" s="1">
        <v>1</v>
      </c>
      <c r="B2" s="1">
        <v>10</v>
      </c>
      <c r="C2" s="23">
        <v>66.25</v>
      </c>
      <c r="D2" s="1">
        <v>26</v>
      </c>
      <c r="E2" s="24">
        <v>7.5</v>
      </c>
      <c r="F2" s="24">
        <v>0.2</v>
      </c>
      <c r="G2" s="24">
        <v>0.05</v>
      </c>
      <c r="H2" s="1">
        <f>SUM(C2:G2)</f>
        <v>100</v>
      </c>
    </row>
    <row r="3" spans="1:8" x14ac:dyDescent="0.2">
      <c r="A3" s="1">
        <v>2</v>
      </c>
      <c r="B3" s="1">
        <v>15</v>
      </c>
      <c r="C3" s="1">
        <v>60</v>
      </c>
      <c r="D3" s="1">
        <v>30</v>
      </c>
      <c r="E3" s="1">
        <v>8.5</v>
      </c>
      <c r="F3" s="1">
        <v>1.1000000000000001</v>
      </c>
      <c r="G3" s="1">
        <v>0.4</v>
      </c>
      <c r="H3" s="1">
        <f t="shared" ref="H3:H11" si="0">SUM(C3:G3)</f>
        <v>100</v>
      </c>
    </row>
    <row r="4" spans="1:8" x14ac:dyDescent="0.2">
      <c r="A4" s="1">
        <v>3</v>
      </c>
      <c r="B4" s="1">
        <v>30</v>
      </c>
      <c r="C4" s="1">
        <v>45</v>
      </c>
      <c r="D4" s="1">
        <v>37</v>
      </c>
      <c r="E4" s="1">
        <v>15</v>
      </c>
      <c r="F4" s="1">
        <v>1.8</v>
      </c>
      <c r="G4" s="1">
        <v>1.2</v>
      </c>
      <c r="H4" s="1">
        <f t="shared" si="0"/>
        <v>100</v>
      </c>
    </row>
    <row r="5" spans="1:8" x14ac:dyDescent="0.2">
      <c r="A5" s="1">
        <v>4</v>
      </c>
      <c r="B5" s="1">
        <v>45</v>
      </c>
      <c r="C5" s="1">
        <v>20</v>
      </c>
      <c r="D5" s="23">
        <v>55</v>
      </c>
      <c r="E5" s="1">
        <v>20</v>
      </c>
      <c r="F5" s="1">
        <v>3.5</v>
      </c>
      <c r="G5" s="1">
        <v>1.5</v>
      </c>
      <c r="H5" s="1">
        <f t="shared" si="0"/>
        <v>100</v>
      </c>
    </row>
    <row r="6" spans="1:8" x14ac:dyDescent="0.2">
      <c r="A6" s="1">
        <v>5</v>
      </c>
      <c r="B6" s="1">
        <v>90</v>
      </c>
      <c r="C6" s="1">
        <v>20</v>
      </c>
      <c r="D6" s="1">
        <v>35</v>
      </c>
      <c r="E6" s="1">
        <v>35</v>
      </c>
      <c r="F6" s="1">
        <v>8</v>
      </c>
      <c r="G6" s="1">
        <v>2</v>
      </c>
      <c r="H6" s="1">
        <f t="shared" si="0"/>
        <v>100</v>
      </c>
    </row>
    <row r="7" spans="1:8" x14ac:dyDescent="0.2">
      <c r="A7" s="1">
        <v>6</v>
      </c>
      <c r="B7" s="1">
        <v>135</v>
      </c>
      <c r="C7" s="1">
        <v>5</v>
      </c>
      <c r="D7" s="1">
        <v>20</v>
      </c>
      <c r="E7" s="23">
        <v>55</v>
      </c>
      <c r="F7" s="1">
        <v>18</v>
      </c>
      <c r="G7" s="1">
        <v>4.5</v>
      </c>
      <c r="H7" s="1">
        <f t="shared" si="0"/>
        <v>102.5</v>
      </c>
    </row>
    <row r="8" spans="1:8" x14ac:dyDescent="0.2">
      <c r="A8" s="1">
        <v>7</v>
      </c>
      <c r="B8" s="1">
        <v>270</v>
      </c>
      <c r="C8" s="1">
        <v>5</v>
      </c>
      <c r="D8" s="1">
        <v>18</v>
      </c>
      <c r="E8" s="1">
        <v>42</v>
      </c>
      <c r="F8" s="1">
        <v>32.200000000000003</v>
      </c>
      <c r="G8" s="1">
        <v>6</v>
      </c>
      <c r="H8" s="1">
        <f t="shared" si="0"/>
        <v>103.2</v>
      </c>
    </row>
    <row r="9" spans="1:8" x14ac:dyDescent="0.2">
      <c r="A9" s="1">
        <v>8</v>
      </c>
      <c r="B9" s="1">
        <v>405</v>
      </c>
      <c r="C9" s="1">
        <v>5</v>
      </c>
      <c r="D9" s="1">
        <v>16</v>
      </c>
      <c r="E9" s="1">
        <v>35</v>
      </c>
      <c r="F9" s="1">
        <v>39.5</v>
      </c>
      <c r="G9" s="1">
        <v>6.9</v>
      </c>
      <c r="H9" s="1">
        <f t="shared" si="0"/>
        <v>102.4</v>
      </c>
    </row>
    <row r="10" spans="1:8" x14ac:dyDescent="0.2">
      <c r="A10" s="1">
        <v>9</v>
      </c>
      <c r="B10" s="1">
        <v>810</v>
      </c>
      <c r="C10" s="1">
        <v>2</v>
      </c>
      <c r="D10" s="1">
        <v>10</v>
      </c>
      <c r="E10" s="1">
        <v>30.5</v>
      </c>
      <c r="F10" s="1">
        <v>52.5</v>
      </c>
      <c r="G10" s="1">
        <v>8.1999999999999993</v>
      </c>
      <c r="H10" s="1">
        <f t="shared" si="0"/>
        <v>103.2</v>
      </c>
    </row>
    <row r="11" spans="1:8" x14ac:dyDescent="0.2">
      <c r="A11" s="1">
        <v>10</v>
      </c>
      <c r="B11" s="1">
        <v>1215</v>
      </c>
      <c r="C11" s="24">
        <v>0.05</v>
      </c>
      <c r="D11" s="24">
        <v>0.2</v>
      </c>
      <c r="E11" s="1">
        <v>26</v>
      </c>
      <c r="F11" s="23">
        <v>66.25</v>
      </c>
      <c r="G11" s="23">
        <v>10</v>
      </c>
      <c r="H11" s="1">
        <f t="shared" si="0"/>
        <v>102.5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パラメータ</vt:lpstr>
      <vt:lpstr>斧と木のパラメータ</vt:lpstr>
      <vt:lpstr>ダメージの種類</vt:lpstr>
      <vt:lpstr>想定最終ビルド一覧</vt:lpstr>
      <vt:lpstr>ノーマル効果一覧</vt:lpstr>
      <vt:lpstr>ユニーク効果一覧</vt:lpstr>
      <vt:lpstr>ガチャ確率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菅野 皐(zeal23420052)</dc:creator>
  <cp:lastModifiedBy>菅野 皐(zeal23420052)</cp:lastModifiedBy>
  <dcterms:created xsi:type="dcterms:W3CDTF">2026-09-29T05:04:02Z</dcterms:created>
  <dcterms:modified xsi:type="dcterms:W3CDTF">2026-10-15T01:15:02Z</dcterms:modified>
</cp:coreProperties>
</file>